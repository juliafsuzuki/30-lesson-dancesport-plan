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ecurelyyoursllc269-my.sharepoint.com/personal/juliasuzuki_securelyyoursllc_com/Documents/Documents/2026 Knowledge Base/ChatGPT/Proj - 30 FA Lesson Plan/Source/Lessons/"/>
    </mc:Choice>
  </mc:AlternateContent>
  <xr:revisionPtr revIDLastSave="26" documentId="11_C3E98C0B8C358BF5D1F12D3B569AF5D49F40FE8E" xr6:coauthVersionLast="47" xr6:coauthVersionMax="47" xr10:uidLastSave="{C6F3E874-1002-4628-9572-A2DDDB02260C}"/>
  <bookViews>
    <workbookView xWindow="-110" yWindow="-110" windowWidth="29020" windowHeight="17500" tabRatio="500" xr2:uid="{00000000-000D-0000-FFFF-FFFF00000000}"/>
  </bookViews>
  <sheets>
    <sheet name="Lesson Blocks" sheetId="1" r:id="rId1"/>
    <sheet name="Lesson Summary" sheetId="2" r:id="rId2"/>
    <sheet name="Phase Map" sheetId="3" r:id="rId3"/>
  </sheets>
  <definedNames>
    <definedName name="_xlnm._FilterDatabase" localSheetId="0" hidden="1">'Lesson Blocks'!$B$5:$K$114</definedName>
    <definedName name="_xlnm._FilterDatabase" localSheetId="1" hidden="1">'Lesson Summary'!$B$5:$G$35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5" i="2" l="1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36" i="2" l="1"/>
  <c r="D36" i="2"/>
</calcChain>
</file>

<file path=xl/sharedStrings.xml><?xml version="1.0" encoding="utf-8"?>
<sst xmlns="http://schemas.openxmlformats.org/spreadsheetml/2006/main" count="914" uniqueCount="209">
  <si>
    <t>30-Lesson DanceSport Plan, Bruce Lee Method</t>
  </si>
  <si>
    <t>Every block from the handwritten plan, one row each. Use the filter arrows in row 5 to sort or filter. Phase method notes are on the Phase Map sheet.</t>
  </si>
  <si>
    <t>Lesson</t>
  </si>
  <si>
    <t>Phase</t>
  </si>
  <si>
    <t>Block Order</t>
  </si>
  <si>
    <t>Minutes</t>
  </si>
  <si>
    <t>Block Type</t>
  </si>
  <si>
    <t>Dance</t>
  </si>
  <si>
    <t>Style</t>
  </si>
  <si>
    <t>Frame</t>
  </si>
  <si>
    <t>Steps</t>
  </si>
  <si>
    <t>Activity Detail</t>
  </si>
  <si>
    <t>Phase 1: Foundation Steps 1-3</t>
  </si>
  <si>
    <t>Warm Up</t>
  </si>
  <si>
    <t>All</t>
  </si>
  <si>
    <t>General</t>
  </si>
  <si>
    <t>N/A</t>
  </si>
  <si>
    <t>Warm up</t>
  </si>
  <si>
    <t>Review</t>
  </si>
  <si>
    <t>Waltz</t>
  </si>
  <si>
    <t>Smooth</t>
  </si>
  <si>
    <t>Closed</t>
  </si>
  <si>
    <t>1-3</t>
  </si>
  <si>
    <t>Review Waltz steps</t>
  </si>
  <si>
    <t>Closed Steps</t>
  </si>
  <si>
    <t>1,2,3</t>
  </si>
  <si>
    <t>Closed bronze steps 1, 2, 3</t>
  </si>
  <si>
    <t>Open Work</t>
  </si>
  <si>
    <t>Open</t>
  </si>
  <si>
    <t>Open Waltz</t>
  </si>
  <si>
    <t>Preview</t>
  </si>
  <si>
    <t>All Smooth</t>
  </si>
  <si>
    <t>Preview Smooth dances</t>
  </si>
  <si>
    <t>Cha Cha</t>
  </si>
  <si>
    <t>Rhythm</t>
  </si>
  <si>
    <t>Review closed Cha Cha steps</t>
  </si>
  <si>
    <t>Closed Cha Cha steps 1, 2, 3</t>
  </si>
  <si>
    <t>Open Cha Cha connection</t>
  </si>
  <si>
    <t>Styling</t>
  </si>
  <si>
    <t>Arm styling</t>
  </si>
  <si>
    <t>Preview Waltz closed steps</t>
  </si>
  <si>
    <t>Tango</t>
  </si>
  <si>
    <t>Closed Tango steps 1, 2, 3</t>
  </si>
  <si>
    <t>Foxtrot</t>
  </si>
  <si>
    <t>Open Foxtrot</t>
  </si>
  <si>
    <t>Review Cha Cha steps</t>
  </si>
  <si>
    <t>Rumba</t>
  </si>
  <si>
    <t>Closed Rumba steps 1, 2, 3</t>
  </si>
  <si>
    <t>Open Rumba connection</t>
  </si>
  <si>
    <t>Waltz, Tango</t>
  </si>
  <si>
    <t>Review Waltz and Tango closed steps</t>
  </si>
  <si>
    <t>Closed Foxtrot steps 1, 2, 3</t>
  </si>
  <si>
    <t>Open Foxtrot footwork</t>
  </si>
  <si>
    <t>Swing</t>
  </si>
  <si>
    <t>Swing steps 1, 2, 3</t>
  </si>
  <si>
    <t>Open Swing connection</t>
  </si>
  <si>
    <t>Viennese Waltz</t>
  </si>
  <si>
    <t>Viennese Waltz closed steps 1, 2, 3</t>
  </si>
  <si>
    <t>Viennese Waltz open</t>
  </si>
  <si>
    <t>Rounds</t>
  </si>
  <si>
    <t>Smooth rounds, closed</t>
  </si>
  <si>
    <t>Bolero</t>
  </si>
  <si>
    <t>Closed Bolero steps 1, 2, 3</t>
  </si>
  <si>
    <t>Mambo</t>
  </si>
  <si>
    <t>Closed Mambo steps 1, 2, 3</t>
  </si>
  <si>
    <t>Closed rounds</t>
  </si>
  <si>
    <t>All Rhythm</t>
  </si>
  <si>
    <t>Review closed Rhythm</t>
  </si>
  <si>
    <t>Review closed Smooth</t>
  </si>
  <si>
    <t>Phase 2: Early Rounds Test</t>
  </si>
  <si>
    <t>Open Smooth rounds</t>
  </si>
  <si>
    <t>Closed Smooth rounds</t>
  </si>
  <si>
    <t>Open Bolero appearance</t>
  </si>
  <si>
    <t>Open Mambo steps and footwork</t>
  </si>
  <si>
    <t>Closed Rhythm rounds</t>
  </si>
  <si>
    <t>Open Rhythm rounds</t>
  </si>
  <si>
    <t>Phase 3: Steps 4-5 and Blending</t>
  </si>
  <si>
    <t>Review Waltz closed</t>
  </si>
  <si>
    <t>4,5</t>
  </si>
  <si>
    <t>Waltz steps 4, 5</t>
  </si>
  <si>
    <t>Open Waltz positions</t>
  </si>
  <si>
    <t>Review Cha Cha closed steps</t>
  </si>
  <si>
    <t>Cha Cha steps 4, 5 closed</t>
  </si>
  <si>
    <t>Closed Tango review</t>
  </si>
  <si>
    <t>Closed Tango steps 4, 5</t>
  </si>
  <si>
    <t>Review closed Rumba</t>
  </si>
  <si>
    <t>Closed Rumba steps 4, 5</t>
  </si>
  <si>
    <t>Review closed Foxtrot</t>
  </si>
  <si>
    <t>Closed Foxtrot steps 4, 5</t>
  </si>
  <si>
    <t>Blending</t>
  </si>
  <si>
    <t>Blend all steps</t>
  </si>
  <si>
    <t>Review closed Swing</t>
  </si>
  <si>
    <t>Closed Swing steps 4, 5</t>
  </si>
  <si>
    <t>Review Viennese Waltz</t>
  </si>
  <si>
    <t>Closed Viennese Waltz steps 4, 5</t>
  </si>
  <si>
    <t>Expression</t>
  </si>
  <si>
    <t>Open Smooth expression</t>
  </si>
  <si>
    <t>Review closed Bolero</t>
  </si>
  <si>
    <t>Closed Bolero steps 4, 5</t>
  </si>
  <si>
    <t>Closed Mambo steps 4, 5</t>
  </si>
  <si>
    <t>Bolero, Mambo</t>
  </si>
  <si>
    <t>Blend Bolero and Mambo</t>
  </si>
  <si>
    <t>Rounds, closed</t>
  </si>
  <si>
    <t>Phase 4: Slow Motion Technique</t>
  </si>
  <si>
    <t>Technique</t>
  </si>
  <si>
    <t>Technique: forward and back steps</t>
  </si>
  <si>
    <t>Slow Motion</t>
  </si>
  <si>
    <t>Smooth 2 rounds in slow motion, closed bronze</t>
  </si>
  <si>
    <t>Rest Round</t>
  </si>
  <si>
    <t>2 rest rounds</t>
  </si>
  <si>
    <t>Forward and backward technique</t>
  </si>
  <si>
    <t>Waltz, Viennese Waltz, Foxtrot</t>
  </si>
  <si>
    <t>Open slow motion round, then stop and go round</t>
  </si>
  <si>
    <t>Rest round</t>
  </si>
  <si>
    <t>Same format as Lesson 21 applied to Rhythm, closed bronze</t>
  </si>
  <si>
    <t>Same format applied to Rhythm open</t>
  </si>
  <si>
    <t>Phase 5: Single Focus and Coaching</t>
  </si>
  <si>
    <t>Single Focus</t>
  </si>
  <si>
    <t>Dancing closed Smooth, only thinking about posture</t>
  </si>
  <si>
    <t>Dancing closed Rhythm, only thinking about posture</t>
  </si>
  <si>
    <t>Fast Smooth rounds and fast Rhythm rounds</t>
  </si>
  <si>
    <t>Connection and technique</t>
  </si>
  <si>
    <t>Smooth and Rhythm fast rounds</t>
  </si>
  <si>
    <t>Coaching</t>
  </si>
  <si>
    <t>Studio coaching: heel and leg action technique, body movement</t>
  </si>
  <si>
    <t>Phase 6: Video and Progress Check</t>
  </si>
  <si>
    <t>Video</t>
  </si>
  <si>
    <t>Video slow motion, stop and go, rest rounds, Smooth and Rhythm closed</t>
  </si>
  <si>
    <t>Same video protocol for the open dances</t>
  </si>
  <si>
    <t>Progress Check</t>
  </si>
  <si>
    <t>Progress check, comparing the videos</t>
  </si>
  <si>
    <t>Lesson Summary</t>
  </si>
  <si>
    <t>Minutes are pulled from the Lesson Blocks sheet with formulas. Blank blocks in the handwriting have no stated duration.</t>
  </si>
  <si>
    <t>Blocks</t>
  </si>
  <si>
    <t>Stated Minutes</t>
  </si>
  <si>
    <t>Focus of the Lesson</t>
  </si>
  <si>
    <t>Primary Dances</t>
  </si>
  <si>
    <t>Waltz closed steps 1-3 and open Waltz, plus a Smooth preview</t>
  </si>
  <si>
    <t>Cha Cha closed steps 1-3, open connection, arm styling</t>
  </si>
  <si>
    <t>Tango closed steps 1-3 and open Foxtrot</t>
  </si>
  <si>
    <t>Tango, Foxtrot</t>
  </si>
  <si>
    <t>Rumba closed steps 1-3 and open Rumba connection</t>
  </si>
  <si>
    <t>Foxtrot closed steps 1-3 and open Foxtrot footwork</t>
  </si>
  <si>
    <t>Waltz, Tango, Foxtrot</t>
  </si>
  <si>
    <t>Swing steps 1-3 and open Swing connection</t>
  </si>
  <si>
    <t>Viennese Waltz closed and open, first Smooth rounds</t>
  </si>
  <si>
    <t>Viennese Waltz, Smooth</t>
  </si>
  <si>
    <t>Bolero and Mambo closed steps 1-3, closed rounds</t>
  </si>
  <si>
    <t>Consolidation review of all closed Rhythm and closed Smooth</t>
  </si>
  <si>
    <t>Smooth rounds, open and closed</t>
  </si>
  <si>
    <t>Open Bolero appearance and open Mambo footwork</t>
  </si>
  <si>
    <t>Rhythm rounds, closed and open</t>
  </si>
  <si>
    <t>Waltz steps 4-5 and open Waltz positions</t>
  </si>
  <si>
    <t>Cha Cha steps 4-5 and open Rhythm rounds</t>
  </si>
  <si>
    <t>Cha Cha, Rhythm</t>
  </si>
  <si>
    <t>Tango steps 4-5 and open Smooth rounds</t>
  </si>
  <si>
    <t>Tango, Smooth</t>
  </si>
  <si>
    <t>Rumba steps 4-5 and open Rhythm rounds</t>
  </si>
  <si>
    <t>Rumba, Rhythm</t>
  </si>
  <si>
    <t>Foxtrot steps 4-5, blend all steps, open Smooth rounds</t>
  </si>
  <si>
    <t>Foxtrot, Smooth</t>
  </si>
  <si>
    <t>Swing steps 4-5, blend all steps, open Rhythm rounds</t>
  </si>
  <si>
    <t>Swing, Rhythm</t>
  </si>
  <si>
    <t>Viennese Waltz steps 4-5, blend all steps, open Smooth expression</t>
  </si>
  <si>
    <t>Bolero and Mambo steps 4-5, blended, closed rounds</t>
  </si>
  <si>
    <t>Forward and back technique, Smooth slow motion and rest rounds, closed bronze</t>
  </si>
  <si>
    <t>Open Smooth slow motion, stop and go, rest round</t>
  </si>
  <si>
    <t>Same slow motion format for Rhythm, closed bronze</t>
  </si>
  <si>
    <t>Same slow motion format for Rhythm open</t>
  </si>
  <si>
    <t>Dancing closed Smooth and Rhythm thinking only about posture, then fast rounds</t>
  </si>
  <si>
    <t>Connection and technique, then Smooth and Rhythm fast rounds</t>
  </si>
  <si>
    <t>Studio coaching on heel and leg action and body movement</t>
  </si>
  <si>
    <t>Video capture of closed Smooth and Rhythm, slow motion, stop and go, rest rounds</t>
  </si>
  <si>
    <t>Video capture of the open dances</t>
  </si>
  <si>
    <t>Progress check comparing the videos</t>
  </si>
  <si>
    <t>Total</t>
  </si>
  <si>
    <t>Phase Map and Method Notes</t>
  </si>
  <si>
    <t>Lessons</t>
  </si>
  <si>
    <t>What Happens</t>
  </si>
  <si>
    <t>Bruce Lee Principle Applied</t>
  </si>
  <si>
    <t>1-9</t>
  </si>
  <si>
    <t>Steps 1, 2, 3 learned closed then opened in all nine dances, with a review block opening almost every lesson.</t>
  </si>
  <si>
    <t>One kick 10,000 times: same three steps revisited across all nine dances</t>
  </si>
  <si>
    <t>10-12</t>
  </si>
  <si>
    <t>Full Smooth and Rhythm rounds, closed and open, plus open Bolero and Mambo work.</t>
  </si>
  <si>
    <t>Functionality over form: test under full-round pressure before it feels ready</t>
  </si>
  <si>
    <t>13-20</t>
  </si>
  <si>
    <t>Steps 4 and 5 added dance by dance, with explicit blend all steps blocks and one open expression block.</t>
  </si>
  <si>
    <t>Add and integrate: new steps blended into existing material, never bolted on</t>
  </si>
  <si>
    <t>21-24</t>
  </si>
  <si>
    <t>Forward and backward technique, slow motion rounds, stop and go rounds, rest rounds, Smooth then Rhythm.</t>
  </si>
  <si>
    <t>Remove momentum so habits become visible</t>
  </si>
  <si>
    <t>25-27</t>
  </si>
  <si>
    <t>Dancing with one thought such as posture, connection and technique work, and studio coaching on heel and leg action.</t>
  </si>
  <si>
    <t>One instruction at a time, plus outside eyes</t>
  </si>
  <si>
    <t>28-30</t>
  </si>
  <si>
    <t>Video capture of closed and open work, then a progress check comparing the footage.</t>
  </si>
  <si>
    <t>Keep records and review them, as Lee did in his training journals</t>
  </si>
  <si>
    <t>Reading Notes</t>
  </si>
  <si>
    <t>Style groups</t>
  </si>
  <si>
    <t>Smooth = Waltz, Tango, Foxtrot, Viennese Waltz. Rhythm = Cha Cha, Rumba, Swing, Bolero, Mambo.</t>
  </si>
  <si>
    <t>Closed vs Open</t>
  </si>
  <si>
    <t>Closed refers to closed or bronze-level material danced in closed position. Open refers to open-level figures and connection work.</t>
  </si>
  <si>
    <t>Blank minutes</t>
  </si>
  <si>
    <t>Some blocks in the handwritten plan have no stated duration, so the Minutes column is left blank for those rows rather than estimated.</t>
  </si>
  <si>
    <t>Lesson 30 note</t>
  </si>
  <si>
    <t>The final line of the handwritten plan after progress check and comparing the videos is not fully legible and is recorded here as the progress check only.</t>
  </si>
  <si>
    <t>Source</t>
  </si>
  <si>
    <t>Transcribed from the two handwritten lesson plan sheets dated 2026-09-08.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</si>
</sst>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&quot;&quot;"/>
  </numFmts>
  <fonts count="7" x14ac:knownFonts="1">
    <font>
      <sz val="11"/>
      <color theme="1"/>
      <name val="Calibri"/>
      <family val="2"/>
      <charset val="1"/>
    </font>
    <font>
      <b/>
      <sz val="16"/>
      <color rgb="FF1B474D"/>
      <name val="Calibri"/>
      <charset val="1"/>
    </font>
    <font>
      <i/>
      <sz val="10"/>
      <color rgb="FF7A7974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b/>
      <sz val="12"/>
      <color rgb="FF1B474D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B474D"/>
        <bgColor rgb="FF003366"/>
      </patternFill>
    </fill>
    <fill>
      <patternFill patternType="solid">
        <fgColor rgb="FFEFF5F5"/>
        <bgColor rgb="FFFFFFFF"/>
      </patternFill>
    </fill>
  </fills>
  <borders count="2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3" fontId="4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0" xfId="0" applyFont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D1CA"/>
      <rgbColor rgb="FF7A7974"/>
      <rgbColor rgb="FF9999FF"/>
      <rgbColor rgb="FF993366"/>
      <rgbColor rgb="FFEF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7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K114"/>
  <sheetViews>
    <sheetView showGridLines="0" tabSelected="1" zoomScaleNormal="100" workbookViewId="0">
      <pane xSplit="1" ySplit="5" topLeftCell="B112" activePane="bottomRight" state="frozen"/>
      <selection pane="topRight" activeCell="B1" sqref="B1"/>
      <selection pane="bottomLeft" activeCell="A6" sqref="A6"/>
      <selection pane="bottomRight" activeCell="B2" sqref="B2"/>
    </sheetView>
  </sheetViews>
  <sheetFormatPr defaultColWidth="8.6328125" defaultRowHeight="14.5" x14ac:dyDescent="0.35"/>
  <cols>
    <col min="1" max="1" width="3" customWidth="1"/>
    <col min="2" max="2" width="8" customWidth="1"/>
    <col min="3" max="3" width="30" customWidth="1"/>
    <col min="4" max="4" width="11" customWidth="1"/>
    <col min="5" max="5" width="9" customWidth="1"/>
    <col min="6" max="6" width="15" customWidth="1"/>
    <col min="7" max="7" width="22" customWidth="1"/>
    <col min="8" max="8" width="10" customWidth="1"/>
    <col min="9" max="9" width="9" customWidth="1"/>
    <col min="10" max="10" width="8" customWidth="1"/>
    <col min="11" max="11" width="52" customWidth="1"/>
    <col min="12" max="12" width="58" customWidth="1"/>
  </cols>
  <sheetData>
    <row r="2" spans="2:11" ht="19.5" customHeight="1" x14ac:dyDescent="0.5">
      <c r="B2" s="1" t="s">
        <v>0</v>
      </c>
    </row>
    <row r="3" spans="2:11" ht="15" customHeight="1" x14ac:dyDescent="0.35">
      <c r="B3" s="2" t="s">
        <v>1</v>
      </c>
    </row>
    <row r="5" spans="2:11" ht="31.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</row>
    <row r="6" spans="2:11" ht="27.75" hidden="1" customHeight="1" x14ac:dyDescent="0.35">
      <c r="B6" s="4">
        <v>1</v>
      </c>
      <c r="C6" s="5" t="s">
        <v>12</v>
      </c>
      <c r="D6" s="4">
        <v>1</v>
      </c>
      <c r="E6" s="6">
        <v>3</v>
      </c>
      <c r="F6" s="5" t="s">
        <v>13</v>
      </c>
      <c r="G6" s="5" t="s">
        <v>14</v>
      </c>
      <c r="H6" s="4" t="s">
        <v>15</v>
      </c>
      <c r="I6" s="4" t="s">
        <v>16</v>
      </c>
      <c r="J6" s="4" t="s">
        <v>16</v>
      </c>
      <c r="K6" s="5" t="s">
        <v>17</v>
      </c>
    </row>
    <row r="7" spans="2:11" ht="27.75" hidden="1" customHeight="1" x14ac:dyDescent="0.35">
      <c r="B7" s="4">
        <v>1</v>
      </c>
      <c r="C7" s="5" t="s">
        <v>12</v>
      </c>
      <c r="D7" s="4">
        <v>2</v>
      </c>
      <c r="E7" s="6">
        <v>5</v>
      </c>
      <c r="F7" s="5" t="s">
        <v>18</v>
      </c>
      <c r="G7" s="5" t="s">
        <v>19</v>
      </c>
      <c r="H7" s="4" t="s">
        <v>20</v>
      </c>
      <c r="I7" s="4" t="s">
        <v>21</v>
      </c>
      <c r="J7" s="4" t="s">
        <v>22</v>
      </c>
      <c r="K7" s="5" t="s">
        <v>23</v>
      </c>
    </row>
    <row r="8" spans="2:11" ht="27.75" hidden="1" customHeight="1" x14ac:dyDescent="0.35">
      <c r="B8" s="4">
        <v>1</v>
      </c>
      <c r="C8" s="5" t="s">
        <v>12</v>
      </c>
      <c r="D8" s="4">
        <v>3</v>
      </c>
      <c r="E8" s="6">
        <v>12</v>
      </c>
      <c r="F8" s="5" t="s">
        <v>24</v>
      </c>
      <c r="G8" s="5" t="s">
        <v>19</v>
      </c>
      <c r="H8" s="4" t="s">
        <v>20</v>
      </c>
      <c r="I8" s="4" t="s">
        <v>21</v>
      </c>
      <c r="J8" s="4" t="s">
        <v>25</v>
      </c>
      <c r="K8" s="5" t="s">
        <v>26</v>
      </c>
    </row>
    <row r="9" spans="2:11" ht="27.75" hidden="1" customHeight="1" x14ac:dyDescent="0.35">
      <c r="B9" s="4">
        <v>1</v>
      </c>
      <c r="C9" s="5" t="s">
        <v>12</v>
      </c>
      <c r="D9" s="4">
        <v>4</v>
      </c>
      <c r="E9" s="6">
        <v>15</v>
      </c>
      <c r="F9" s="5" t="s">
        <v>27</v>
      </c>
      <c r="G9" s="5" t="s">
        <v>19</v>
      </c>
      <c r="H9" s="4" t="s">
        <v>20</v>
      </c>
      <c r="I9" s="4" t="s">
        <v>28</v>
      </c>
      <c r="J9" s="4" t="s">
        <v>16</v>
      </c>
      <c r="K9" s="5" t="s">
        <v>29</v>
      </c>
    </row>
    <row r="10" spans="2:11" ht="27.75" hidden="1" customHeight="1" x14ac:dyDescent="0.35">
      <c r="B10" s="4">
        <v>1</v>
      </c>
      <c r="C10" s="5" t="s">
        <v>12</v>
      </c>
      <c r="D10" s="4">
        <v>5</v>
      </c>
      <c r="E10" s="6">
        <v>5</v>
      </c>
      <c r="F10" s="5" t="s">
        <v>30</v>
      </c>
      <c r="G10" s="5" t="s">
        <v>31</v>
      </c>
      <c r="H10" s="4" t="s">
        <v>20</v>
      </c>
      <c r="I10" s="4" t="s">
        <v>16</v>
      </c>
      <c r="J10" s="4" t="s">
        <v>16</v>
      </c>
      <c r="K10" s="5" t="s">
        <v>32</v>
      </c>
    </row>
    <row r="11" spans="2:11" ht="27.75" hidden="1" customHeight="1" x14ac:dyDescent="0.35">
      <c r="B11" s="7">
        <v>2</v>
      </c>
      <c r="C11" s="8" t="s">
        <v>12</v>
      </c>
      <c r="D11" s="7">
        <v>1</v>
      </c>
      <c r="E11" s="9">
        <v>3</v>
      </c>
      <c r="F11" s="8" t="s">
        <v>13</v>
      </c>
      <c r="G11" s="8" t="s">
        <v>14</v>
      </c>
      <c r="H11" s="7" t="s">
        <v>15</v>
      </c>
      <c r="I11" s="7" t="s">
        <v>16</v>
      </c>
      <c r="J11" s="7" t="s">
        <v>16</v>
      </c>
      <c r="K11" s="8" t="s">
        <v>17</v>
      </c>
    </row>
    <row r="12" spans="2:11" ht="27.75" hidden="1" customHeight="1" x14ac:dyDescent="0.35">
      <c r="B12" s="7">
        <v>2</v>
      </c>
      <c r="C12" s="8" t="s">
        <v>12</v>
      </c>
      <c r="D12" s="7">
        <v>2</v>
      </c>
      <c r="E12" s="9">
        <v>5</v>
      </c>
      <c r="F12" s="8" t="s">
        <v>18</v>
      </c>
      <c r="G12" s="8" t="s">
        <v>33</v>
      </c>
      <c r="H12" s="7" t="s">
        <v>34</v>
      </c>
      <c r="I12" s="7" t="s">
        <v>21</v>
      </c>
      <c r="J12" s="7" t="s">
        <v>22</v>
      </c>
      <c r="K12" s="8" t="s">
        <v>35</v>
      </c>
    </row>
    <row r="13" spans="2:11" ht="27.75" hidden="1" customHeight="1" x14ac:dyDescent="0.35">
      <c r="B13" s="7">
        <v>2</v>
      </c>
      <c r="C13" s="8" t="s">
        <v>12</v>
      </c>
      <c r="D13" s="7">
        <v>3</v>
      </c>
      <c r="E13" s="9">
        <v>15</v>
      </c>
      <c r="F13" s="8" t="s">
        <v>24</v>
      </c>
      <c r="G13" s="8" t="s">
        <v>33</v>
      </c>
      <c r="H13" s="7" t="s">
        <v>34</v>
      </c>
      <c r="I13" s="7" t="s">
        <v>21</v>
      </c>
      <c r="J13" s="7" t="s">
        <v>25</v>
      </c>
      <c r="K13" s="8" t="s">
        <v>36</v>
      </c>
    </row>
    <row r="14" spans="2:11" ht="27.75" hidden="1" customHeight="1" x14ac:dyDescent="0.35">
      <c r="B14" s="7">
        <v>2</v>
      </c>
      <c r="C14" s="8" t="s">
        <v>12</v>
      </c>
      <c r="D14" s="7">
        <v>4</v>
      </c>
      <c r="E14" s="9">
        <v>15</v>
      </c>
      <c r="F14" s="8" t="s">
        <v>27</v>
      </c>
      <c r="G14" s="8" t="s">
        <v>33</v>
      </c>
      <c r="H14" s="7" t="s">
        <v>34</v>
      </c>
      <c r="I14" s="7" t="s">
        <v>28</v>
      </c>
      <c r="J14" s="7" t="s">
        <v>16</v>
      </c>
      <c r="K14" s="8" t="s">
        <v>37</v>
      </c>
    </row>
    <row r="15" spans="2:11" ht="27.75" hidden="1" customHeight="1" x14ac:dyDescent="0.35">
      <c r="B15" s="7">
        <v>2</v>
      </c>
      <c r="C15" s="8" t="s">
        <v>12</v>
      </c>
      <c r="D15" s="7">
        <v>5</v>
      </c>
      <c r="E15" s="9">
        <v>5</v>
      </c>
      <c r="F15" s="8" t="s">
        <v>38</v>
      </c>
      <c r="G15" s="8" t="s">
        <v>33</v>
      </c>
      <c r="H15" s="7" t="s">
        <v>34</v>
      </c>
      <c r="I15" s="7" t="s">
        <v>16</v>
      </c>
      <c r="J15" s="7" t="s">
        <v>16</v>
      </c>
      <c r="K15" s="8" t="s">
        <v>39</v>
      </c>
    </row>
    <row r="16" spans="2:11" ht="27.75" hidden="1" customHeight="1" x14ac:dyDescent="0.35">
      <c r="B16" s="4">
        <v>3</v>
      </c>
      <c r="C16" s="5" t="s">
        <v>12</v>
      </c>
      <c r="D16" s="4">
        <v>1</v>
      </c>
      <c r="E16" s="6">
        <v>3</v>
      </c>
      <c r="F16" s="5" t="s">
        <v>13</v>
      </c>
      <c r="G16" s="5" t="s">
        <v>14</v>
      </c>
      <c r="H16" s="4" t="s">
        <v>15</v>
      </c>
      <c r="I16" s="4" t="s">
        <v>16</v>
      </c>
      <c r="J16" s="4" t="s">
        <v>16</v>
      </c>
      <c r="K16" s="5" t="s">
        <v>17</v>
      </c>
    </row>
    <row r="17" spans="2:11" ht="27.75" hidden="1" customHeight="1" x14ac:dyDescent="0.35">
      <c r="B17" s="4">
        <v>3</v>
      </c>
      <c r="C17" s="5" t="s">
        <v>12</v>
      </c>
      <c r="D17" s="4">
        <v>2</v>
      </c>
      <c r="E17" s="6">
        <v>5</v>
      </c>
      <c r="F17" s="5" t="s">
        <v>30</v>
      </c>
      <c r="G17" s="5" t="s">
        <v>19</v>
      </c>
      <c r="H17" s="4" t="s">
        <v>20</v>
      </c>
      <c r="I17" s="4" t="s">
        <v>21</v>
      </c>
      <c r="J17" s="4" t="s">
        <v>16</v>
      </c>
      <c r="K17" s="5" t="s">
        <v>40</v>
      </c>
    </row>
    <row r="18" spans="2:11" ht="27.75" hidden="1" customHeight="1" x14ac:dyDescent="0.35">
      <c r="B18" s="4">
        <v>3</v>
      </c>
      <c r="C18" s="5" t="s">
        <v>12</v>
      </c>
      <c r="D18" s="4">
        <v>3</v>
      </c>
      <c r="E18" s="6">
        <v>10</v>
      </c>
      <c r="F18" s="5" t="s">
        <v>24</v>
      </c>
      <c r="G18" s="5" t="s">
        <v>41</v>
      </c>
      <c r="H18" s="4" t="s">
        <v>20</v>
      </c>
      <c r="I18" s="4" t="s">
        <v>21</v>
      </c>
      <c r="J18" s="4" t="s">
        <v>25</v>
      </c>
      <c r="K18" s="5" t="s">
        <v>42</v>
      </c>
    </row>
    <row r="19" spans="2:11" ht="27.75" hidden="1" customHeight="1" x14ac:dyDescent="0.35">
      <c r="B19" s="4">
        <v>3</v>
      </c>
      <c r="C19" s="5" t="s">
        <v>12</v>
      </c>
      <c r="D19" s="4">
        <v>4</v>
      </c>
      <c r="E19" s="6">
        <v>20</v>
      </c>
      <c r="F19" s="5" t="s">
        <v>27</v>
      </c>
      <c r="G19" s="5" t="s">
        <v>43</v>
      </c>
      <c r="H19" s="4" t="s">
        <v>20</v>
      </c>
      <c r="I19" s="4" t="s">
        <v>28</v>
      </c>
      <c r="J19" s="4" t="s">
        <v>16</v>
      </c>
      <c r="K19" s="5" t="s">
        <v>44</v>
      </c>
    </row>
    <row r="20" spans="2:11" ht="27.75" hidden="1" customHeight="1" x14ac:dyDescent="0.35">
      <c r="B20" s="7">
        <v>4</v>
      </c>
      <c r="C20" s="8" t="s">
        <v>12</v>
      </c>
      <c r="D20" s="7">
        <v>1</v>
      </c>
      <c r="E20" s="9">
        <v>3</v>
      </c>
      <c r="F20" s="8" t="s">
        <v>13</v>
      </c>
      <c r="G20" s="8" t="s">
        <v>14</v>
      </c>
      <c r="H20" s="7" t="s">
        <v>15</v>
      </c>
      <c r="I20" s="7" t="s">
        <v>16</v>
      </c>
      <c r="J20" s="7" t="s">
        <v>16</v>
      </c>
      <c r="K20" s="8" t="s">
        <v>17</v>
      </c>
    </row>
    <row r="21" spans="2:11" ht="27.75" hidden="1" customHeight="1" x14ac:dyDescent="0.35">
      <c r="B21" s="7">
        <v>4</v>
      </c>
      <c r="C21" s="8" t="s">
        <v>12</v>
      </c>
      <c r="D21" s="7">
        <v>2</v>
      </c>
      <c r="E21" s="9">
        <v>5</v>
      </c>
      <c r="F21" s="8" t="s">
        <v>18</v>
      </c>
      <c r="G21" s="8" t="s">
        <v>33</v>
      </c>
      <c r="H21" s="7" t="s">
        <v>34</v>
      </c>
      <c r="I21" s="7" t="s">
        <v>21</v>
      </c>
      <c r="J21" s="7" t="s">
        <v>22</v>
      </c>
      <c r="K21" s="8" t="s">
        <v>45</v>
      </c>
    </row>
    <row r="22" spans="2:11" ht="27.75" hidden="1" customHeight="1" x14ac:dyDescent="0.35">
      <c r="B22" s="7">
        <v>4</v>
      </c>
      <c r="C22" s="8" t="s">
        <v>12</v>
      </c>
      <c r="D22" s="7">
        <v>3</v>
      </c>
      <c r="E22" s="9">
        <v>15</v>
      </c>
      <c r="F22" s="8" t="s">
        <v>24</v>
      </c>
      <c r="G22" s="8" t="s">
        <v>46</v>
      </c>
      <c r="H22" s="7" t="s">
        <v>34</v>
      </c>
      <c r="I22" s="7" t="s">
        <v>21</v>
      </c>
      <c r="J22" s="7" t="s">
        <v>25</v>
      </c>
      <c r="K22" s="8" t="s">
        <v>47</v>
      </c>
    </row>
    <row r="23" spans="2:11" ht="27.75" hidden="1" customHeight="1" x14ac:dyDescent="0.35">
      <c r="B23" s="7">
        <v>4</v>
      </c>
      <c r="C23" s="8" t="s">
        <v>12</v>
      </c>
      <c r="D23" s="7">
        <v>4</v>
      </c>
      <c r="E23" s="9">
        <v>20</v>
      </c>
      <c r="F23" s="8" t="s">
        <v>27</v>
      </c>
      <c r="G23" s="8" t="s">
        <v>46</v>
      </c>
      <c r="H23" s="7" t="s">
        <v>34</v>
      </c>
      <c r="I23" s="7" t="s">
        <v>28</v>
      </c>
      <c r="J23" s="7" t="s">
        <v>16</v>
      </c>
      <c r="K23" s="8" t="s">
        <v>48</v>
      </c>
    </row>
    <row r="24" spans="2:11" ht="27.75" hidden="1" customHeight="1" x14ac:dyDescent="0.35">
      <c r="B24" s="4">
        <v>5</v>
      </c>
      <c r="C24" s="5" t="s">
        <v>12</v>
      </c>
      <c r="D24" s="4">
        <v>1</v>
      </c>
      <c r="E24" s="6">
        <v>3</v>
      </c>
      <c r="F24" s="5" t="s">
        <v>13</v>
      </c>
      <c r="G24" s="5" t="s">
        <v>14</v>
      </c>
      <c r="H24" s="4" t="s">
        <v>15</v>
      </c>
      <c r="I24" s="4" t="s">
        <v>16</v>
      </c>
      <c r="J24" s="4" t="s">
        <v>16</v>
      </c>
      <c r="K24" s="5" t="s">
        <v>17</v>
      </c>
    </row>
    <row r="25" spans="2:11" ht="27.75" hidden="1" customHeight="1" x14ac:dyDescent="0.35">
      <c r="B25" s="4">
        <v>5</v>
      </c>
      <c r="C25" s="5" t="s">
        <v>12</v>
      </c>
      <c r="D25" s="4">
        <v>2</v>
      </c>
      <c r="E25" s="6">
        <v>10</v>
      </c>
      <c r="F25" s="5" t="s">
        <v>18</v>
      </c>
      <c r="G25" s="5" t="s">
        <v>49</v>
      </c>
      <c r="H25" s="4" t="s">
        <v>20</v>
      </c>
      <c r="I25" s="4" t="s">
        <v>21</v>
      </c>
      <c r="J25" s="4" t="s">
        <v>22</v>
      </c>
      <c r="K25" s="5" t="s">
        <v>50</v>
      </c>
    </row>
    <row r="26" spans="2:11" ht="27.75" hidden="1" customHeight="1" x14ac:dyDescent="0.35">
      <c r="B26" s="4">
        <v>5</v>
      </c>
      <c r="C26" s="5" t="s">
        <v>12</v>
      </c>
      <c r="D26" s="4">
        <v>3</v>
      </c>
      <c r="E26" s="6">
        <v>15</v>
      </c>
      <c r="F26" s="5" t="s">
        <v>24</v>
      </c>
      <c r="G26" s="5" t="s">
        <v>43</v>
      </c>
      <c r="H26" s="4" t="s">
        <v>20</v>
      </c>
      <c r="I26" s="4" t="s">
        <v>21</v>
      </c>
      <c r="J26" s="4" t="s">
        <v>25</v>
      </c>
      <c r="K26" s="5" t="s">
        <v>51</v>
      </c>
    </row>
    <row r="27" spans="2:11" ht="27.75" hidden="1" customHeight="1" x14ac:dyDescent="0.35">
      <c r="B27" s="4">
        <v>5</v>
      </c>
      <c r="C27" s="5" t="s">
        <v>12</v>
      </c>
      <c r="D27" s="4">
        <v>4</v>
      </c>
      <c r="E27" s="6">
        <v>12</v>
      </c>
      <c r="F27" s="5" t="s">
        <v>27</v>
      </c>
      <c r="G27" s="5" t="s">
        <v>43</v>
      </c>
      <c r="H27" s="4" t="s">
        <v>20</v>
      </c>
      <c r="I27" s="4" t="s">
        <v>28</v>
      </c>
      <c r="J27" s="4" t="s">
        <v>16</v>
      </c>
      <c r="K27" s="5" t="s">
        <v>52</v>
      </c>
    </row>
    <row r="28" spans="2:11" ht="27.75" hidden="1" customHeight="1" x14ac:dyDescent="0.35">
      <c r="B28" s="7">
        <v>6</v>
      </c>
      <c r="C28" s="8" t="s">
        <v>12</v>
      </c>
      <c r="D28" s="7">
        <v>1</v>
      </c>
      <c r="E28" s="9">
        <v>3</v>
      </c>
      <c r="F28" s="8" t="s">
        <v>13</v>
      </c>
      <c r="G28" s="8" t="s">
        <v>14</v>
      </c>
      <c r="H28" s="7" t="s">
        <v>15</v>
      </c>
      <c r="I28" s="7" t="s">
        <v>16</v>
      </c>
      <c r="J28" s="7" t="s">
        <v>16</v>
      </c>
      <c r="K28" s="8" t="s">
        <v>17</v>
      </c>
    </row>
    <row r="29" spans="2:11" ht="27.75" hidden="1" customHeight="1" x14ac:dyDescent="0.35">
      <c r="B29" s="7">
        <v>6</v>
      </c>
      <c r="C29" s="8" t="s">
        <v>12</v>
      </c>
      <c r="D29" s="7">
        <v>2</v>
      </c>
      <c r="E29" s="9">
        <v>15</v>
      </c>
      <c r="F29" s="8" t="s">
        <v>24</v>
      </c>
      <c r="G29" s="8" t="s">
        <v>53</v>
      </c>
      <c r="H29" s="7" t="s">
        <v>34</v>
      </c>
      <c r="I29" s="7" t="s">
        <v>21</v>
      </c>
      <c r="J29" s="7" t="s">
        <v>25</v>
      </c>
      <c r="K29" s="8" t="s">
        <v>54</v>
      </c>
    </row>
    <row r="30" spans="2:11" ht="27.75" hidden="1" customHeight="1" x14ac:dyDescent="0.35">
      <c r="B30" s="7">
        <v>6</v>
      </c>
      <c r="C30" s="8" t="s">
        <v>12</v>
      </c>
      <c r="D30" s="7">
        <v>3</v>
      </c>
      <c r="E30" s="9">
        <v>20</v>
      </c>
      <c r="F30" s="8" t="s">
        <v>27</v>
      </c>
      <c r="G30" s="8" t="s">
        <v>53</v>
      </c>
      <c r="H30" s="7" t="s">
        <v>34</v>
      </c>
      <c r="I30" s="7" t="s">
        <v>28</v>
      </c>
      <c r="J30" s="7" t="s">
        <v>16</v>
      </c>
      <c r="K30" s="8" t="s">
        <v>55</v>
      </c>
    </row>
    <row r="31" spans="2:11" ht="27.75" hidden="1" customHeight="1" x14ac:dyDescent="0.35">
      <c r="B31" s="4">
        <v>7</v>
      </c>
      <c r="C31" s="5" t="s">
        <v>12</v>
      </c>
      <c r="D31" s="4">
        <v>1</v>
      </c>
      <c r="E31" s="6">
        <v>3</v>
      </c>
      <c r="F31" s="5" t="s">
        <v>13</v>
      </c>
      <c r="G31" s="5" t="s">
        <v>14</v>
      </c>
      <c r="H31" s="4" t="s">
        <v>15</v>
      </c>
      <c r="I31" s="4" t="s">
        <v>16</v>
      </c>
      <c r="J31" s="4" t="s">
        <v>16</v>
      </c>
      <c r="K31" s="5" t="s">
        <v>17</v>
      </c>
    </row>
    <row r="32" spans="2:11" ht="27.75" hidden="1" customHeight="1" x14ac:dyDescent="0.35">
      <c r="B32" s="4">
        <v>7</v>
      </c>
      <c r="C32" s="5" t="s">
        <v>12</v>
      </c>
      <c r="D32" s="4">
        <v>2</v>
      </c>
      <c r="E32" s="6">
        <v>15</v>
      </c>
      <c r="F32" s="5" t="s">
        <v>24</v>
      </c>
      <c r="G32" s="5" t="s">
        <v>56</v>
      </c>
      <c r="H32" s="4" t="s">
        <v>20</v>
      </c>
      <c r="I32" s="4" t="s">
        <v>21</v>
      </c>
      <c r="J32" s="4" t="s">
        <v>25</v>
      </c>
      <c r="K32" s="5" t="s">
        <v>57</v>
      </c>
    </row>
    <row r="33" spans="2:11" ht="27.75" hidden="1" customHeight="1" x14ac:dyDescent="0.35">
      <c r="B33" s="4">
        <v>7</v>
      </c>
      <c r="C33" s="5" t="s">
        <v>12</v>
      </c>
      <c r="D33" s="4">
        <v>3</v>
      </c>
      <c r="E33" s="6">
        <v>20</v>
      </c>
      <c r="F33" s="5" t="s">
        <v>27</v>
      </c>
      <c r="G33" s="5" t="s">
        <v>56</v>
      </c>
      <c r="H33" s="4" t="s">
        <v>20</v>
      </c>
      <c r="I33" s="4" t="s">
        <v>28</v>
      </c>
      <c r="J33" s="4" t="s">
        <v>16</v>
      </c>
      <c r="K33" s="5" t="s">
        <v>58</v>
      </c>
    </row>
    <row r="34" spans="2:11" ht="27.75" hidden="1" customHeight="1" x14ac:dyDescent="0.35">
      <c r="B34" s="4">
        <v>7</v>
      </c>
      <c r="C34" s="5" t="s">
        <v>12</v>
      </c>
      <c r="D34" s="4">
        <v>4</v>
      </c>
      <c r="E34" s="6">
        <v>10</v>
      </c>
      <c r="F34" s="5" t="s">
        <v>59</v>
      </c>
      <c r="G34" s="5" t="s">
        <v>31</v>
      </c>
      <c r="H34" s="4" t="s">
        <v>20</v>
      </c>
      <c r="I34" s="4" t="s">
        <v>21</v>
      </c>
      <c r="J34" s="4" t="s">
        <v>16</v>
      </c>
      <c r="K34" s="5" t="s">
        <v>60</v>
      </c>
    </row>
    <row r="35" spans="2:11" ht="27.75" hidden="1" customHeight="1" x14ac:dyDescent="0.35">
      <c r="B35" s="7">
        <v>8</v>
      </c>
      <c r="C35" s="8" t="s">
        <v>12</v>
      </c>
      <c r="D35" s="7">
        <v>1</v>
      </c>
      <c r="E35" s="9">
        <v>3</v>
      </c>
      <c r="F35" s="8" t="s">
        <v>13</v>
      </c>
      <c r="G35" s="8" t="s">
        <v>14</v>
      </c>
      <c r="H35" s="7" t="s">
        <v>15</v>
      </c>
      <c r="I35" s="7" t="s">
        <v>16</v>
      </c>
      <c r="J35" s="7" t="s">
        <v>16</v>
      </c>
      <c r="K35" s="8" t="s">
        <v>17</v>
      </c>
    </row>
    <row r="36" spans="2:11" ht="27.75" hidden="1" customHeight="1" x14ac:dyDescent="0.35">
      <c r="B36" s="7">
        <v>8</v>
      </c>
      <c r="C36" s="8" t="s">
        <v>12</v>
      </c>
      <c r="D36" s="7">
        <v>2</v>
      </c>
      <c r="E36" s="9">
        <v>15</v>
      </c>
      <c r="F36" s="8" t="s">
        <v>24</v>
      </c>
      <c r="G36" s="8" t="s">
        <v>61</v>
      </c>
      <c r="H36" s="7" t="s">
        <v>34</v>
      </c>
      <c r="I36" s="7" t="s">
        <v>21</v>
      </c>
      <c r="J36" s="7" t="s">
        <v>25</v>
      </c>
      <c r="K36" s="8" t="s">
        <v>62</v>
      </c>
    </row>
    <row r="37" spans="2:11" ht="27.75" hidden="1" customHeight="1" x14ac:dyDescent="0.35">
      <c r="B37" s="7">
        <v>8</v>
      </c>
      <c r="C37" s="8" t="s">
        <v>12</v>
      </c>
      <c r="D37" s="7">
        <v>3</v>
      </c>
      <c r="E37" s="9">
        <v>15</v>
      </c>
      <c r="F37" s="8" t="s">
        <v>24</v>
      </c>
      <c r="G37" s="8" t="s">
        <v>63</v>
      </c>
      <c r="H37" s="7" t="s">
        <v>34</v>
      </c>
      <c r="I37" s="7" t="s">
        <v>21</v>
      </c>
      <c r="J37" s="7" t="s">
        <v>25</v>
      </c>
      <c r="K37" s="8" t="s">
        <v>64</v>
      </c>
    </row>
    <row r="38" spans="2:11" ht="27.75" hidden="1" customHeight="1" x14ac:dyDescent="0.35">
      <c r="B38" s="7">
        <v>8</v>
      </c>
      <c r="C38" s="8" t="s">
        <v>12</v>
      </c>
      <c r="D38" s="7">
        <v>4</v>
      </c>
      <c r="E38" s="9"/>
      <c r="F38" s="8" t="s">
        <v>59</v>
      </c>
      <c r="G38" s="8" t="s">
        <v>14</v>
      </c>
      <c r="H38" s="7" t="s">
        <v>15</v>
      </c>
      <c r="I38" s="7" t="s">
        <v>21</v>
      </c>
      <c r="J38" s="7" t="s">
        <v>16</v>
      </c>
      <c r="K38" s="8" t="s">
        <v>65</v>
      </c>
    </row>
    <row r="39" spans="2:11" ht="27.75" hidden="1" customHeight="1" x14ac:dyDescent="0.35">
      <c r="B39" s="4">
        <v>9</v>
      </c>
      <c r="C39" s="5" t="s">
        <v>12</v>
      </c>
      <c r="D39" s="4">
        <v>1</v>
      </c>
      <c r="E39" s="6">
        <v>3</v>
      </c>
      <c r="F39" s="5" t="s">
        <v>13</v>
      </c>
      <c r="G39" s="5" t="s">
        <v>14</v>
      </c>
      <c r="H39" s="4" t="s">
        <v>15</v>
      </c>
      <c r="I39" s="4" t="s">
        <v>16</v>
      </c>
      <c r="J39" s="4" t="s">
        <v>16</v>
      </c>
      <c r="K39" s="5" t="s">
        <v>17</v>
      </c>
    </row>
    <row r="40" spans="2:11" ht="27.75" hidden="1" customHeight="1" x14ac:dyDescent="0.35">
      <c r="B40" s="4">
        <v>9</v>
      </c>
      <c r="C40" s="5" t="s">
        <v>12</v>
      </c>
      <c r="D40" s="4">
        <v>2</v>
      </c>
      <c r="E40" s="6">
        <v>20</v>
      </c>
      <c r="F40" s="5" t="s">
        <v>18</v>
      </c>
      <c r="G40" s="5" t="s">
        <v>66</v>
      </c>
      <c r="H40" s="4" t="s">
        <v>34</v>
      </c>
      <c r="I40" s="4" t="s">
        <v>21</v>
      </c>
      <c r="J40" s="4" t="s">
        <v>16</v>
      </c>
      <c r="K40" s="5" t="s">
        <v>67</v>
      </c>
    </row>
    <row r="41" spans="2:11" ht="27.75" hidden="1" customHeight="1" x14ac:dyDescent="0.35">
      <c r="B41" s="4">
        <v>9</v>
      </c>
      <c r="C41" s="5" t="s">
        <v>12</v>
      </c>
      <c r="D41" s="4">
        <v>3</v>
      </c>
      <c r="E41" s="6">
        <v>20</v>
      </c>
      <c r="F41" s="5" t="s">
        <v>18</v>
      </c>
      <c r="G41" s="5" t="s">
        <v>31</v>
      </c>
      <c r="H41" s="4" t="s">
        <v>20</v>
      </c>
      <c r="I41" s="4" t="s">
        <v>21</v>
      </c>
      <c r="J41" s="4" t="s">
        <v>16</v>
      </c>
      <c r="K41" s="5" t="s">
        <v>68</v>
      </c>
    </row>
    <row r="42" spans="2:11" ht="27.75" hidden="1" customHeight="1" x14ac:dyDescent="0.35">
      <c r="B42" s="7">
        <v>10</v>
      </c>
      <c r="C42" s="8" t="s">
        <v>69</v>
      </c>
      <c r="D42" s="7">
        <v>1</v>
      </c>
      <c r="E42" s="9">
        <v>3</v>
      </c>
      <c r="F42" s="8" t="s">
        <v>13</v>
      </c>
      <c r="G42" s="8" t="s">
        <v>14</v>
      </c>
      <c r="H42" s="7" t="s">
        <v>15</v>
      </c>
      <c r="I42" s="7" t="s">
        <v>16</v>
      </c>
      <c r="J42" s="7" t="s">
        <v>16</v>
      </c>
      <c r="K42" s="8" t="s">
        <v>17</v>
      </c>
    </row>
    <row r="43" spans="2:11" ht="27.75" hidden="1" customHeight="1" x14ac:dyDescent="0.35">
      <c r="B43" s="7">
        <v>10</v>
      </c>
      <c r="C43" s="8" t="s">
        <v>69</v>
      </c>
      <c r="D43" s="7">
        <v>2</v>
      </c>
      <c r="E43" s="9">
        <v>20</v>
      </c>
      <c r="F43" s="8" t="s">
        <v>59</v>
      </c>
      <c r="G43" s="8" t="s">
        <v>31</v>
      </c>
      <c r="H43" s="7" t="s">
        <v>20</v>
      </c>
      <c r="I43" s="7" t="s">
        <v>28</v>
      </c>
      <c r="J43" s="7" t="s">
        <v>16</v>
      </c>
      <c r="K43" s="8" t="s">
        <v>70</v>
      </c>
    </row>
    <row r="44" spans="2:11" ht="27.75" hidden="1" customHeight="1" x14ac:dyDescent="0.35">
      <c r="B44" s="7">
        <v>10</v>
      </c>
      <c r="C44" s="8" t="s">
        <v>69</v>
      </c>
      <c r="D44" s="7">
        <v>3</v>
      </c>
      <c r="E44" s="9">
        <v>20</v>
      </c>
      <c r="F44" s="8" t="s">
        <v>59</v>
      </c>
      <c r="G44" s="8" t="s">
        <v>31</v>
      </c>
      <c r="H44" s="7" t="s">
        <v>20</v>
      </c>
      <c r="I44" s="7" t="s">
        <v>21</v>
      </c>
      <c r="J44" s="7" t="s">
        <v>16</v>
      </c>
      <c r="K44" s="8" t="s">
        <v>71</v>
      </c>
    </row>
    <row r="45" spans="2:11" ht="27.75" hidden="1" customHeight="1" x14ac:dyDescent="0.35">
      <c r="B45" s="4">
        <v>11</v>
      </c>
      <c r="C45" s="5" t="s">
        <v>69</v>
      </c>
      <c r="D45" s="4">
        <v>1</v>
      </c>
      <c r="E45" s="6">
        <v>3</v>
      </c>
      <c r="F45" s="5" t="s">
        <v>13</v>
      </c>
      <c r="G45" s="5" t="s">
        <v>14</v>
      </c>
      <c r="H45" s="4" t="s">
        <v>15</v>
      </c>
      <c r="I45" s="4" t="s">
        <v>16</v>
      </c>
      <c r="J45" s="4" t="s">
        <v>16</v>
      </c>
      <c r="K45" s="5" t="s">
        <v>17</v>
      </c>
    </row>
    <row r="46" spans="2:11" ht="27.75" hidden="1" customHeight="1" x14ac:dyDescent="0.35">
      <c r="B46" s="4">
        <v>11</v>
      </c>
      <c r="C46" s="5" t="s">
        <v>69</v>
      </c>
      <c r="D46" s="4">
        <v>2</v>
      </c>
      <c r="E46" s="6">
        <v>15</v>
      </c>
      <c r="F46" s="5" t="s">
        <v>27</v>
      </c>
      <c r="G46" s="5" t="s">
        <v>61</v>
      </c>
      <c r="H46" s="4" t="s">
        <v>34</v>
      </c>
      <c r="I46" s="4" t="s">
        <v>28</v>
      </c>
      <c r="J46" s="4" t="s">
        <v>16</v>
      </c>
      <c r="K46" s="5" t="s">
        <v>72</v>
      </c>
    </row>
    <row r="47" spans="2:11" ht="27.75" hidden="1" customHeight="1" x14ac:dyDescent="0.35">
      <c r="B47" s="4">
        <v>11</v>
      </c>
      <c r="C47" s="5" t="s">
        <v>69</v>
      </c>
      <c r="D47" s="4">
        <v>3</v>
      </c>
      <c r="E47" s="6">
        <v>20</v>
      </c>
      <c r="F47" s="5" t="s">
        <v>27</v>
      </c>
      <c r="G47" s="5" t="s">
        <v>63</v>
      </c>
      <c r="H47" s="4" t="s">
        <v>34</v>
      </c>
      <c r="I47" s="4" t="s">
        <v>28</v>
      </c>
      <c r="J47" s="4" t="s">
        <v>16</v>
      </c>
      <c r="K47" s="5" t="s">
        <v>73</v>
      </c>
    </row>
    <row r="48" spans="2:11" ht="27.75" hidden="1" customHeight="1" x14ac:dyDescent="0.35">
      <c r="B48" s="7">
        <v>12</v>
      </c>
      <c r="C48" s="8" t="s">
        <v>69</v>
      </c>
      <c r="D48" s="7">
        <v>1</v>
      </c>
      <c r="E48" s="9">
        <v>3</v>
      </c>
      <c r="F48" s="8" t="s">
        <v>13</v>
      </c>
      <c r="G48" s="8" t="s">
        <v>14</v>
      </c>
      <c r="H48" s="7" t="s">
        <v>15</v>
      </c>
      <c r="I48" s="7" t="s">
        <v>16</v>
      </c>
      <c r="J48" s="7" t="s">
        <v>16</v>
      </c>
      <c r="K48" s="8" t="s">
        <v>17</v>
      </c>
    </row>
    <row r="49" spans="2:11" ht="27.75" hidden="1" customHeight="1" x14ac:dyDescent="0.35">
      <c r="B49" s="7">
        <v>12</v>
      </c>
      <c r="C49" s="8" t="s">
        <v>69</v>
      </c>
      <c r="D49" s="7">
        <v>2</v>
      </c>
      <c r="E49" s="9">
        <v>10</v>
      </c>
      <c r="F49" s="8" t="s">
        <v>59</v>
      </c>
      <c r="G49" s="8" t="s">
        <v>66</v>
      </c>
      <c r="H49" s="7" t="s">
        <v>34</v>
      </c>
      <c r="I49" s="7" t="s">
        <v>21</v>
      </c>
      <c r="J49" s="7" t="s">
        <v>16</v>
      </c>
      <c r="K49" s="8" t="s">
        <v>74</v>
      </c>
    </row>
    <row r="50" spans="2:11" ht="27.75" hidden="1" customHeight="1" x14ac:dyDescent="0.35">
      <c r="B50" s="7">
        <v>12</v>
      </c>
      <c r="C50" s="8" t="s">
        <v>69</v>
      </c>
      <c r="D50" s="7">
        <v>3</v>
      </c>
      <c r="E50" s="9">
        <v>20</v>
      </c>
      <c r="F50" s="8" t="s">
        <v>59</v>
      </c>
      <c r="G50" s="8" t="s">
        <v>66</v>
      </c>
      <c r="H50" s="7" t="s">
        <v>34</v>
      </c>
      <c r="I50" s="7" t="s">
        <v>28</v>
      </c>
      <c r="J50" s="7" t="s">
        <v>16</v>
      </c>
      <c r="K50" s="8" t="s">
        <v>75</v>
      </c>
    </row>
    <row r="51" spans="2:11" ht="27.75" hidden="1" customHeight="1" x14ac:dyDescent="0.35">
      <c r="B51" s="4">
        <v>13</v>
      </c>
      <c r="C51" s="5" t="s">
        <v>76</v>
      </c>
      <c r="D51" s="4">
        <v>1</v>
      </c>
      <c r="E51" s="6">
        <v>3</v>
      </c>
      <c r="F51" s="5" t="s">
        <v>13</v>
      </c>
      <c r="G51" s="5" t="s">
        <v>14</v>
      </c>
      <c r="H51" s="4" t="s">
        <v>15</v>
      </c>
      <c r="I51" s="4" t="s">
        <v>16</v>
      </c>
      <c r="J51" s="4" t="s">
        <v>16</v>
      </c>
      <c r="K51" s="5" t="s">
        <v>17</v>
      </c>
    </row>
    <row r="52" spans="2:11" ht="27.75" hidden="1" customHeight="1" x14ac:dyDescent="0.35">
      <c r="B52" s="4">
        <v>13</v>
      </c>
      <c r="C52" s="5" t="s">
        <v>76</v>
      </c>
      <c r="D52" s="4">
        <v>2</v>
      </c>
      <c r="E52" s="6">
        <v>5</v>
      </c>
      <c r="F52" s="5" t="s">
        <v>18</v>
      </c>
      <c r="G52" s="5" t="s">
        <v>19</v>
      </c>
      <c r="H52" s="4" t="s">
        <v>20</v>
      </c>
      <c r="I52" s="4" t="s">
        <v>21</v>
      </c>
      <c r="J52" s="4" t="s">
        <v>16</v>
      </c>
      <c r="K52" s="5" t="s">
        <v>77</v>
      </c>
    </row>
    <row r="53" spans="2:11" ht="27.75" hidden="1" customHeight="1" x14ac:dyDescent="0.35">
      <c r="B53" s="4">
        <v>13</v>
      </c>
      <c r="C53" s="5" t="s">
        <v>76</v>
      </c>
      <c r="D53" s="4">
        <v>3</v>
      </c>
      <c r="E53" s="6">
        <v>10</v>
      </c>
      <c r="F53" s="5" t="s">
        <v>24</v>
      </c>
      <c r="G53" s="5" t="s">
        <v>19</v>
      </c>
      <c r="H53" s="4" t="s">
        <v>20</v>
      </c>
      <c r="I53" s="4" t="s">
        <v>21</v>
      </c>
      <c r="J53" s="4" t="s">
        <v>78</v>
      </c>
      <c r="K53" s="5" t="s">
        <v>79</v>
      </c>
    </row>
    <row r="54" spans="2:11" ht="27.75" hidden="1" customHeight="1" x14ac:dyDescent="0.35">
      <c r="B54" s="4">
        <v>13</v>
      </c>
      <c r="C54" s="5" t="s">
        <v>76</v>
      </c>
      <c r="D54" s="4">
        <v>4</v>
      </c>
      <c r="E54" s="6">
        <v>20</v>
      </c>
      <c r="F54" s="5" t="s">
        <v>27</v>
      </c>
      <c r="G54" s="5" t="s">
        <v>19</v>
      </c>
      <c r="H54" s="4" t="s">
        <v>20</v>
      </c>
      <c r="I54" s="4" t="s">
        <v>28</v>
      </c>
      <c r="J54" s="4" t="s">
        <v>16</v>
      </c>
      <c r="K54" s="5" t="s">
        <v>80</v>
      </c>
    </row>
    <row r="55" spans="2:11" ht="27.75" hidden="1" customHeight="1" x14ac:dyDescent="0.35">
      <c r="B55" s="7">
        <v>14</v>
      </c>
      <c r="C55" s="8" t="s">
        <v>76</v>
      </c>
      <c r="D55" s="7">
        <v>1</v>
      </c>
      <c r="E55" s="9">
        <v>3</v>
      </c>
      <c r="F55" s="8" t="s">
        <v>13</v>
      </c>
      <c r="G55" s="8" t="s">
        <v>14</v>
      </c>
      <c r="H55" s="7" t="s">
        <v>15</v>
      </c>
      <c r="I55" s="7" t="s">
        <v>16</v>
      </c>
      <c r="J55" s="7" t="s">
        <v>16</v>
      </c>
      <c r="K55" s="8" t="s">
        <v>17</v>
      </c>
    </row>
    <row r="56" spans="2:11" ht="27.75" hidden="1" customHeight="1" x14ac:dyDescent="0.35">
      <c r="B56" s="7">
        <v>14</v>
      </c>
      <c r="C56" s="8" t="s">
        <v>76</v>
      </c>
      <c r="D56" s="7">
        <v>2</v>
      </c>
      <c r="E56" s="9">
        <v>5</v>
      </c>
      <c r="F56" s="8" t="s">
        <v>18</v>
      </c>
      <c r="G56" s="8" t="s">
        <v>33</v>
      </c>
      <c r="H56" s="7" t="s">
        <v>34</v>
      </c>
      <c r="I56" s="7" t="s">
        <v>21</v>
      </c>
      <c r="J56" s="7" t="s">
        <v>16</v>
      </c>
      <c r="K56" s="8" t="s">
        <v>81</v>
      </c>
    </row>
    <row r="57" spans="2:11" ht="27.75" hidden="1" customHeight="1" x14ac:dyDescent="0.35">
      <c r="B57" s="7">
        <v>14</v>
      </c>
      <c r="C57" s="8" t="s">
        <v>76</v>
      </c>
      <c r="D57" s="7">
        <v>3</v>
      </c>
      <c r="E57" s="9">
        <v>10</v>
      </c>
      <c r="F57" s="8" t="s">
        <v>24</v>
      </c>
      <c r="G57" s="8" t="s">
        <v>33</v>
      </c>
      <c r="H57" s="7" t="s">
        <v>34</v>
      </c>
      <c r="I57" s="7" t="s">
        <v>21</v>
      </c>
      <c r="J57" s="7" t="s">
        <v>78</v>
      </c>
      <c r="K57" s="8" t="s">
        <v>82</v>
      </c>
    </row>
    <row r="58" spans="2:11" ht="27.75" hidden="1" customHeight="1" x14ac:dyDescent="0.35">
      <c r="B58" s="7">
        <v>14</v>
      </c>
      <c r="C58" s="8" t="s">
        <v>76</v>
      </c>
      <c r="D58" s="7">
        <v>4</v>
      </c>
      <c r="E58" s="9">
        <v>20</v>
      </c>
      <c r="F58" s="8" t="s">
        <v>59</v>
      </c>
      <c r="G58" s="8" t="s">
        <v>66</v>
      </c>
      <c r="H58" s="7" t="s">
        <v>34</v>
      </c>
      <c r="I58" s="7" t="s">
        <v>28</v>
      </c>
      <c r="J58" s="7" t="s">
        <v>16</v>
      </c>
      <c r="K58" s="8" t="s">
        <v>75</v>
      </c>
    </row>
    <row r="59" spans="2:11" ht="27.75" hidden="1" customHeight="1" x14ac:dyDescent="0.35">
      <c r="B59" s="4">
        <v>15</v>
      </c>
      <c r="C59" s="5" t="s">
        <v>76</v>
      </c>
      <c r="D59" s="4">
        <v>1</v>
      </c>
      <c r="E59" s="6">
        <v>3</v>
      </c>
      <c r="F59" s="5" t="s">
        <v>13</v>
      </c>
      <c r="G59" s="5" t="s">
        <v>14</v>
      </c>
      <c r="H59" s="4" t="s">
        <v>15</v>
      </c>
      <c r="I59" s="4" t="s">
        <v>16</v>
      </c>
      <c r="J59" s="4" t="s">
        <v>16</v>
      </c>
      <c r="K59" s="5" t="s">
        <v>17</v>
      </c>
    </row>
    <row r="60" spans="2:11" ht="27.75" hidden="1" customHeight="1" x14ac:dyDescent="0.35">
      <c r="B60" s="4">
        <v>15</v>
      </c>
      <c r="C60" s="5" t="s">
        <v>76</v>
      </c>
      <c r="D60" s="4">
        <v>2</v>
      </c>
      <c r="E60" s="6">
        <v>5</v>
      </c>
      <c r="F60" s="5" t="s">
        <v>18</v>
      </c>
      <c r="G60" s="5" t="s">
        <v>41</v>
      </c>
      <c r="H60" s="4" t="s">
        <v>20</v>
      </c>
      <c r="I60" s="4" t="s">
        <v>21</v>
      </c>
      <c r="J60" s="4" t="s">
        <v>16</v>
      </c>
      <c r="K60" s="5" t="s">
        <v>83</v>
      </c>
    </row>
    <row r="61" spans="2:11" ht="27.75" hidden="1" customHeight="1" x14ac:dyDescent="0.35">
      <c r="B61" s="4">
        <v>15</v>
      </c>
      <c r="C61" s="5" t="s">
        <v>76</v>
      </c>
      <c r="D61" s="4">
        <v>3</v>
      </c>
      <c r="E61" s="6">
        <v>10</v>
      </c>
      <c r="F61" s="5" t="s">
        <v>24</v>
      </c>
      <c r="G61" s="5" t="s">
        <v>41</v>
      </c>
      <c r="H61" s="4" t="s">
        <v>20</v>
      </c>
      <c r="I61" s="4" t="s">
        <v>21</v>
      </c>
      <c r="J61" s="4" t="s">
        <v>78</v>
      </c>
      <c r="K61" s="5" t="s">
        <v>84</v>
      </c>
    </row>
    <row r="62" spans="2:11" ht="27.75" hidden="1" customHeight="1" x14ac:dyDescent="0.35">
      <c r="B62" s="4">
        <v>15</v>
      </c>
      <c r="C62" s="5" t="s">
        <v>76</v>
      </c>
      <c r="D62" s="4">
        <v>4</v>
      </c>
      <c r="E62" s="6">
        <v>20</v>
      </c>
      <c r="F62" s="5" t="s">
        <v>59</v>
      </c>
      <c r="G62" s="5" t="s">
        <v>31</v>
      </c>
      <c r="H62" s="4" t="s">
        <v>20</v>
      </c>
      <c r="I62" s="4" t="s">
        <v>28</v>
      </c>
      <c r="J62" s="4" t="s">
        <v>16</v>
      </c>
      <c r="K62" s="5" t="s">
        <v>70</v>
      </c>
    </row>
    <row r="63" spans="2:11" ht="27.75" hidden="1" customHeight="1" x14ac:dyDescent="0.35">
      <c r="B63" s="7">
        <v>16</v>
      </c>
      <c r="C63" s="8" t="s">
        <v>76</v>
      </c>
      <c r="D63" s="7">
        <v>1</v>
      </c>
      <c r="E63" s="9">
        <v>3</v>
      </c>
      <c r="F63" s="8" t="s">
        <v>13</v>
      </c>
      <c r="G63" s="8" t="s">
        <v>14</v>
      </c>
      <c r="H63" s="7" t="s">
        <v>15</v>
      </c>
      <c r="I63" s="7" t="s">
        <v>16</v>
      </c>
      <c r="J63" s="7" t="s">
        <v>16</v>
      </c>
      <c r="K63" s="8" t="s">
        <v>17</v>
      </c>
    </row>
    <row r="64" spans="2:11" ht="27.75" hidden="1" customHeight="1" x14ac:dyDescent="0.35">
      <c r="B64" s="7">
        <v>16</v>
      </c>
      <c r="C64" s="8" t="s">
        <v>76</v>
      </c>
      <c r="D64" s="7">
        <v>2</v>
      </c>
      <c r="E64" s="9">
        <v>5</v>
      </c>
      <c r="F64" s="8" t="s">
        <v>18</v>
      </c>
      <c r="G64" s="8" t="s">
        <v>46</v>
      </c>
      <c r="H64" s="7" t="s">
        <v>34</v>
      </c>
      <c r="I64" s="7" t="s">
        <v>21</v>
      </c>
      <c r="J64" s="7" t="s">
        <v>16</v>
      </c>
      <c r="K64" s="8" t="s">
        <v>85</v>
      </c>
    </row>
    <row r="65" spans="2:11" ht="27.75" hidden="1" customHeight="1" x14ac:dyDescent="0.35">
      <c r="B65" s="7">
        <v>16</v>
      </c>
      <c r="C65" s="8" t="s">
        <v>76</v>
      </c>
      <c r="D65" s="7">
        <v>3</v>
      </c>
      <c r="E65" s="9">
        <v>10</v>
      </c>
      <c r="F65" s="8" t="s">
        <v>24</v>
      </c>
      <c r="G65" s="8" t="s">
        <v>46</v>
      </c>
      <c r="H65" s="7" t="s">
        <v>34</v>
      </c>
      <c r="I65" s="7" t="s">
        <v>21</v>
      </c>
      <c r="J65" s="7" t="s">
        <v>78</v>
      </c>
      <c r="K65" s="8" t="s">
        <v>86</v>
      </c>
    </row>
    <row r="66" spans="2:11" ht="27.75" hidden="1" customHeight="1" x14ac:dyDescent="0.35">
      <c r="B66" s="7">
        <v>16</v>
      </c>
      <c r="C66" s="8" t="s">
        <v>76</v>
      </c>
      <c r="D66" s="7">
        <v>4</v>
      </c>
      <c r="E66" s="9">
        <v>20</v>
      </c>
      <c r="F66" s="8" t="s">
        <v>59</v>
      </c>
      <c r="G66" s="8" t="s">
        <v>66</v>
      </c>
      <c r="H66" s="7" t="s">
        <v>34</v>
      </c>
      <c r="I66" s="7" t="s">
        <v>28</v>
      </c>
      <c r="J66" s="7" t="s">
        <v>16</v>
      </c>
      <c r="K66" s="8" t="s">
        <v>75</v>
      </c>
    </row>
    <row r="67" spans="2:11" ht="27.75" hidden="1" customHeight="1" x14ac:dyDescent="0.35">
      <c r="B67" s="4">
        <v>17</v>
      </c>
      <c r="C67" s="5" t="s">
        <v>76</v>
      </c>
      <c r="D67" s="4">
        <v>1</v>
      </c>
      <c r="E67" s="6">
        <v>3</v>
      </c>
      <c r="F67" s="5" t="s">
        <v>13</v>
      </c>
      <c r="G67" s="5" t="s">
        <v>14</v>
      </c>
      <c r="H67" s="4" t="s">
        <v>15</v>
      </c>
      <c r="I67" s="4" t="s">
        <v>16</v>
      </c>
      <c r="J67" s="4" t="s">
        <v>16</v>
      </c>
      <c r="K67" s="5" t="s">
        <v>17</v>
      </c>
    </row>
    <row r="68" spans="2:11" ht="27.75" hidden="1" customHeight="1" x14ac:dyDescent="0.35">
      <c r="B68" s="4">
        <v>17</v>
      </c>
      <c r="C68" s="5" t="s">
        <v>76</v>
      </c>
      <c r="D68" s="4">
        <v>2</v>
      </c>
      <c r="E68" s="6">
        <v>5</v>
      </c>
      <c r="F68" s="5" t="s">
        <v>18</v>
      </c>
      <c r="G68" s="5" t="s">
        <v>43</v>
      </c>
      <c r="H68" s="4" t="s">
        <v>20</v>
      </c>
      <c r="I68" s="4" t="s">
        <v>21</v>
      </c>
      <c r="J68" s="4" t="s">
        <v>16</v>
      </c>
      <c r="K68" s="5" t="s">
        <v>87</v>
      </c>
    </row>
    <row r="69" spans="2:11" ht="27.75" hidden="1" customHeight="1" x14ac:dyDescent="0.35">
      <c r="B69" s="4">
        <v>17</v>
      </c>
      <c r="C69" s="5" t="s">
        <v>76</v>
      </c>
      <c r="D69" s="4">
        <v>3</v>
      </c>
      <c r="E69" s="6">
        <v>10</v>
      </c>
      <c r="F69" s="5" t="s">
        <v>24</v>
      </c>
      <c r="G69" s="5" t="s">
        <v>43</v>
      </c>
      <c r="H69" s="4" t="s">
        <v>20</v>
      </c>
      <c r="I69" s="4" t="s">
        <v>21</v>
      </c>
      <c r="J69" s="4" t="s">
        <v>78</v>
      </c>
      <c r="K69" s="5" t="s">
        <v>88</v>
      </c>
    </row>
    <row r="70" spans="2:11" ht="27.75" hidden="1" customHeight="1" x14ac:dyDescent="0.35">
      <c r="B70" s="4">
        <v>17</v>
      </c>
      <c r="C70" s="5" t="s">
        <v>76</v>
      </c>
      <c r="D70" s="4">
        <v>4</v>
      </c>
      <c r="E70" s="6">
        <v>5</v>
      </c>
      <c r="F70" s="5" t="s">
        <v>89</v>
      </c>
      <c r="G70" s="5" t="s">
        <v>14</v>
      </c>
      <c r="H70" s="4" t="s">
        <v>15</v>
      </c>
      <c r="I70" s="4" t="s">
        <v>16</v>
      </c>
      <c r="J70" s="4" t="s">
        <v>16</v>
      </c>
      <c r="K70" s="5" t="s">
        <v>90</v>
      </c>
    </row>
    <row r="71" spans="2:11" ht="27.75" hidden="1" customHeight="1" x14ac:dyDescent="0.35">
      <c r="B71" s="4">
        <v>17</v>
      </c>
      <c r="C71" s="5" t="s">
        <v>76</v>
      </c>
      <c r="D71" s="4">
        <v>5</v>
      </c>
      <c r="E71" s="6">
        <v>17</v>
      </c>
      <c r="F71" s="5" t="s">
        <v>59</v>
      </c>
      <c r="G71" s="5" t="s">
        <v>31</v>
      </c>
      <c r="H71" s="4" t="s">
        <v>20</v>
      </c>
      <c r="I71" s="4" t="s">
        <v>28</v>
      </c>
      <c r="J71" s="4" t="s">
        <v>16</v>
      </c>
      <c r="K71" s="5" t="s">
        <v>70</v>
      </c>
    </row>
    <row r="72" spans="2:11" ht="27.75" hidden="1" customHeight="1" x14ac:dyDescent="0.35">
      <c r="B72" s="7">
        <v>18</v>
      </c>
      <c r="C72" s="8" t="s">
        <v>76</v>
      </c>
      <c r="D72" s="7">
        <v>1</v>
      </c>
      <c r="E72" s="9">
        <v>3</v>
      </c>
      <c r="F72" s="8" t="s">
        <v>13</v>
      </c>
      <c r="G72" s="8" t="s">
        <v>14</v>
      </c>
      <c r="H72" s="7" t="s">
        <v>15</v>
      </c>
      <c r="I72" s="7" t="s">
        <v>16</v>
      </c>
      <c r="J72" s="7" t="s">
        <v>16</v>
      </c>
      <c r="K72" s="8" t="s">
        <v>17</v>
      </c>
    </row>
    <row r="73" spans="2:11" ht="27.75" hidden="1" customHeight="1" x14ac:dyDescent="0.35">
      <c r="B73" s="7">
        <v>18</v>
      </c>
      <c r="C73" s="8" t="s">
        <v>76</v>
      </c>
      <c r="D73" s="7">
        <v>2</v>
      </c>
      <c r="E73" s="9">
        <v>5</v>
      </c>
      <c r="F73" s="8" t="s">
        <v>18</v>
      </c>
      <c r="G73" s="8" t="s">
        <v>53</v>
      </c>
      <c r="H73" s="7" t="s">
        <v>34</v>
      </c>
      <c r="I73" s="7" t="s">
        <v>21</v>
      </c>
      <c r="J73" s="7" t="s">
        <v>16</v>
      </c>
      <c r="K73" s="8" t="s">
        <v>91</v>
      </c>
    </row>
    <row r="74" spans="2:11" ht="27.75" hidden="1" customHeight="1" x14ac:dyDescent="0.35">
      <c r="B74" s="7">
        <v>18</v>
      </c>
      <c r="C74" s="8" t="s">
        <v>76</v>
      </c>
      <c r="D74" s="7">
        <v>3</v>
      </c>
      <c r="E74" s="9">
        <v>10</v>
      </c>
      <c r="F74" s="8" t="s">
        <v>24</v>
      </c>
      <c r="G74" s="8" t="s">
        <v>53</v>
      </c>
      <c r="H74" s="7" t="s">
        <v>34</v>
      </c>
      <c r="I74" s="7" t="s">
        <v>21</v>
      </c>
      <c r="J74" s="7" t="s">
        <v>78</v>
      </c>
      <c r="K74" s="8" t="s">
        <v>92</v>
      </c>
    </row>
    <row r="75" spans="2:11" ht="27.75" hidden="1" customHeight="1" x14ac:dyDescent="0.35">
      <c r="B75" s="7">
        <v>18</v>
      </c>
      <c r="C75" s="8" t="s">
        <v>76</v>
      </c>
      <c r="D75" s="7">
        <v>4</v>
      </c>
      <c r="E75" s="9">
        <v>5</v>
      </c>
      <c r="F75" s="8" t="s">
        <v>89</v>
      </c>
      <c r="G75" s="8" t="s">
        <v>14</v>
      </c>
      <c r="H75" s="7" t="s">
        <v>15</v>
      </c>
      <c r="I75" s="7" t="s">
        <v>16</v>
      </c>
      <c r="J75" s="7" t="s">
        <v>16</v>
      </c>
      <c r="K75" s="8" t="s">
        <v>90</v>
      </c>
    </row>
    <row r="76" spans="2:11" ht="27.75" hidden="1" customHeight="1" x14ac:dyDescent="0.35">
      <c r="B76" s="7">
        <v>18</v>
      </c>
      <c r="C76" s="8" t="s">
        <v>76</v>
      </c>
      <c r="D76" s="7">
        <v>5</v>
      </c>
      <c r="E76" s="9">
        <v>17</v>
      </c>
      <c r="F76" s="8" t="s">
        <v>59</v>
      </c>
      <c r="G76" s="8" t="s">
        <v>66</v>
      </c>
      <c r="H76" s="7" t="s">
        <v>34</v>
      </c>
      <c r="I76" s="7" t="s">
        <v>28</v>
      </c>
      <c r="J76" s="7" t="s">
        <v>16</v>
      </c>
      <c r="K76" s="8" t="s">
        <v>75</v>
      </c>
    </row>
    <row r="77" spans="2:11" ht="27.75" hidden="1" customHeight="1" x14ac:dyDescent="0.35">
      <c r="B77" s="4">
        <v>19</v>
      </c>
      <c r="C77" s="5" t="s">
        <v>76</v>
      </c>
      <c r="D77" s="4">
        <v>1</v>
      </c>
      <c r="E77" s="6">
        <v>3</v>
      </c>
      <c r="F77" s="5" t="s">
        <v>13</v>
      </c>
      <c r="G77" s="5" t="s">
        <v>14</v>
      </c>
      <c r="H77" s="4" t="s">
        <v>15</v>
      </c>
      <c r="I77" s="4" t="s">
        <v>16</v>
      </c>
      <c r="J77" s="4" t="s">
        <v>16</v>
      </c>
      <c r="K77" s="5" t="s">
        <v>17</v>
      </c>
    </row>
    <row r="78" spans="2:11" ht="27.75" hidden="1" customHeight="1" x14ac:dyDescent="0.35">
      <c r="B78" s="4">
        <v>19</v>
      </c>
      <c r="C78" s="5" t="s">
        <v>76</v>
      </c>
      <c r="D78" s="4">
        <v>2</v>
      </c>
      <c r="E78" s="6">
        <v>5</v>
      </c>
      <c r="F78" s="5" t="s">
        <v>18</v>
      </c>
      <c r="G78" s="5" t="s">
        <v>56</v>
      </c>
      <c r="H78" s="4" t="s">
        <v>20</v>
      </c>
      <c r="I78" s="4" t="s">
        <v>21</v>
      </c>
      <c r="J78" s="4" t="s">
        <v>16</v>
      </c>
      <c r="K78" s="5" t="s">
        <v>93</v>
      </c>
    </row>
    <row r="79" spans="2:11" ht="27.75" hidden="1" customHeight="1" x14ac:dyDescent="0.35">
      <c r="B79" s="4">
        <v>19</v>
      </c>
      <c r="C79" s="5" t="s">
        <v>76</v>
      </c>
      <c r="D79" s="4">
        <v>3</v>
      </c>
      <c r="E79" s="6">
        <v>10</v>
      </c>
      <c r="F79" s="5" t="s">
        <v>24</v>
      </c>
      <c r="G79" s="5" t="s">
        <v>56</v>
      </c>
      <c r="H79" s="4" t="s">
        <v>20</v>
      </c>
      <c r="I79" s="4" t="s">
        <v>21</v>
      </c>
      <c r="J79" s="4" t="s">
        <v>78</v>
      </c>
      <c r="K79" s="5" t="s">
        <v>94</v>
      </c>
    </row>
    <row r="80" spans="2:11" ht="27.75" hidden="1" customHeight="1" x14ac:dyDescent="0.35">
      <c r="B80" s="4">
        <v>19</v>
      </c>
      <c r="C80" s="5" t="s">
        <v>76</v>
      </c>
      <c r="D80" s="4">
        <v>4</v>
      </c>
      <c r="E80" s="6">
        <v>5</v>
      </c>
      <c r="F80" s="5" t="s">
        <v>89</v>
      </c>
      <c r="G80" s="5" t="s">
        <v>14</v>
      </c>
      <c r="H80" s="4" t="s">
        <v>15</v>
      </c>
      <c r="I80" s="4" t="s">
        <v>16</v>
      </c>
      <c r="J80" s="4" t="s">
        <v>16</v>
      </c>
      <c r="K80" s="5" t="s">
        <v>90</v>
      </c>
    </row>
    <row r="81" spans="2:11" ht="27.75" hidden="1" customHeight="1" x14ac:dyDescent="0.35">
      <c r="B81" s="4">
        <v>19</v>
      </c>
      <c r="C81" s="5" t="s">
        <v>76</v>
      </c>
      <c r="D81" s="4">
        <v>5</v>
      </c>
      <c r="E81" s="6">
        <v>17</v>
      </c>
      <c r="F81" s="5" t="s">
        <v>95</v>
      </c>
      <c r="G81" s="5" t="s">
        <v>31</v>
      </c>
      <c r="H81" s="4" t="s">
        <v>20</v>
      </c>
      <c r="I81" s="4" t="s">
        <v>28</v>
      </c>
      <c r="J81" s="4" t="s">
        <v>16</v>
      </c>
      <c r="K81" s="5" t="s">
        <v>96</v>
      </c>
    </row>
    <row r="82" spans="2:11" ht="27.75" hidden="1" customHeight="1" x14ac:dyDescent="0.35">
      <c r="B82" s="7">
        <v>20</v>
      </c>
      <c r="C82" s="8" t="s">
        <v>76</v>
      </c>
      <c r="D82" s="7">
        <v>1</v>
      </c>
      <c r="E82" s="9">
        <v>3</v>
      </c>
      <c r="F82" s="8" t="s">
        <v>13</v>
      </c>
      <c r="G82" s="8" t="s">
        <v>14</v>
      </c>
      <c r="H82" s="7" t="s">
        <v>15</v>
      </c>
      <c r="I82" s="7" t="s">
        <v>16</v>
      </c>
      <c r="J82" s="7" t="s">
        <v>16</v>
      </c>
      <c r="K82" s="8" t="s">
        <v>17</v>
      </c>
    </row>
    <row r="83" spans="2:11" ht="27.75" hidden="1" customHeight="1" x14ac:dyDescent="0.35">
      <c r="B83" s="7">
        <v>20</v>
      </c>
      <c r="C83" s="8" t="s">
        <v>76</v>
      </c>
      <c r="D83" s="7">
        <v>2</v>
      </c>
      <c r="E83" s="9">
        <v>5</v>
      </c>
      <c r="F83" s="8" t="s">
        <v>18</v>
      </c>
      <c r="G83" s="8" t="s">
        <v>61</v>
      </c>
      <c r="H83" s="7" t="s">
        <v>34</v>
      </c>
      <c r="I83" s="7" t="s">
        <v>21</v>
      </c>
      <c r="J83" s="7" t="s">
        <v>16</v>
      </c>
      <c r="K83" s="8" t="s">
        <v>97</v>
      </c>
    </row>
    <row r="84" spans="2:11" ht="27.75" hidden="1" customHeight="1" x14ac:dyDescent="0.35">
      <c r="B84" s="7">
        <v>20</v>
      </c>
      <c r="C84" s="8" t="s">
        <v>76</v>
      </c>
      <c r="D84" s="7">
        <v>3</v>
      </c>
      <c r="E84" s="9">
        <v>5</v>
      </c>
      <c r="F84" s="8" t="s">
        <v>24</v>
      </c>
      <c r="G84" s="8" t="s">
        <v>61</v>
      </c>
      <c r="H84" s="7" t="s">
        <v>34</v>
      </c>
      <c r="I84" s="7" t="s">
        <v>21</v>
      </c>
      <c r="J84" s="7" t="s">
        <v>78</v>
      </c>
      <c r="K84" s="8" t="s">
        <v>98</v>
      </c>
    </row>
    <row r="85" spans="2:11" ht="27.75" hidden="1" customHeight="1" x14ac:dyDescent="0.35">
      <c r="B85" s="7">
        <v>20</v>
      </c>
      <c r="C85" s="8" t="s">
        <v>76</v>
      </c>
      <c r="D85" s="7">
        <v>4</v>
      </c>
      <c r="E85" s="9">
        <v>5</v>
      </c>
      <c r="F85" s="8" t="s">
        <v>24</v>
      </c>
      <c r="G85" s="8" t="s">
        <v>63</v>
      </c>
      <c r="H85" s="7" t="s">
        <v>34</v>
      </c>
      <c r="I85" s="7" t="s">
        <v>21</v>
      </c>
      <c r="J85" s="7" t="s">
        <v>78</v>
      </c>
      <c r="K85" s="8" t="s">
        <v>99</v>
      </c>
    </row>
    <row r="86" spans="2:11" ht="27.75" hidden="1" customHeight="1" x14ac:dyDescent="0.35">
      <c r="B86" s="7">
        <v>20</v>
      </c>
      <c r="C86" s="8" t="s">
        <v>76</v>
      </c>
      <c r="D86" s="7">
        <v>5</v>
      </c>
      <c r="E86" s="9">
        <v>10</v>
      </c>
      <c r="F86" s="8" t="s">
        <v>89</v>
      </c>
      <c r="G86" s="8" t="s">
        <v>100</v>
      </c>
      <c r="H86" s="7" t="s">
        <v>34</v>
      </c>
      <c r="I86" s="7" t="s">
        <v>21</v>
      </c>
      <c r="J86" s="7" t="s">
        <v>16</v>
      </c>
      <c r="K86" s="8" t="s">
        <v>101</v>
      </c>
    </row>
    <row r="87" spans="2:11" ht="27.75" hidden="1" customHeight="1" x14ac:dyDescent="0.35">
      <c r="B87" s="7">
        <v>20</v>
      </c>
      <c r="C87" s="8" t="s">
        <v>76</v>
      </c>
      <c r="D87" s="7">
        <v>6</v>
      </c>
      <c r="E87" s="9">
        <v>10</v>
      </c>
      <c r="F87" s="8" t="s">
        <v>59</v>
      </c>
      <c r="G87" s="8" t="s">
        <v>14</v>
      </c>
      <c r="H87" s="7" t="s">
        <v>15</v>
      </c>
      <c r="I87" s="7" t="s">
        <v>21</v>
      </c>
      <c r="J87" s="7" t="s">
        <v>16</v>
      </c>
      <c r="K87" s="8" t="s">
        <v>102</v>
      </c>
    </row>
    <row r="88" spans="2:11" ht="15" hidden="1" customHeight="1" x14ac:dyDescent="0.35">
      <c r="B88" s="4">
        <v>21</v>
      </c>
      <c r="C88" s="5" t="s">
        <v>103</v>
      </c>
      <c r="D88" s="4">
        <v>1</v>
      </c>
      <c r="E88" s="6">
        <v>3</v>
      </c>
      <c r="F88" s="5" t="s">
        <v>13</v>
      </c>
      <c r="G88" s="5" t="s">
        <v>14</v>
      </c>
      <c r="H88" s="4" t="s">
        <v>15</v>
      </c>
      <c r="I88" s="4" t="s">
        <v>16</v>
      </c>
      <c r="J88" s="4" t="s">
        <v>16</v>
      </c>
      <c r="K88" s="5" t="s">
        <v>17</v>
      </c>
    </row>
    <row r="89" spans="2:11" ht="15" hidden="1" customHeight="1" x14ac:dyDescent="0.35">
      <c r="B89" s="4">
        <v>21</v>
      </c>
      <c r="C89" s="5" t="s">
        <v>103</v>
      </c>
      <c r="D89" s="4">
        <v>2</v>
      </c>
      <c r="E89" s="6">
        <v>5</v>
      </c>
      <c r="F89" s="5" t="s">
        <v>104</v>
      </c>
      <c r="G89" s="5" t="s">
        <v>14</v>
      </c>
      <c r="H89" s="4" t="s">
        <v>15</v>
      </c>
      <c r="I89" s="4" t="s">
        <v>16</v>
      </c>
      <c r="J89" s="4" t="s">
        <v>16</v>
      </c>
      <c r="K89" s="5" t="s">
        <v>105</v>
      </c>
    </row>
    <row r="90" spans="2:11" ht="15" hidden="1" customHeight="1" x14ac:dyDescent="0.35">
      <c r="B90" s="4">
        <v>21</v>
      </c>
      <c r="C90" s="5" t="s">
        <v>103</v>
      </c>
      <c r="D90" s="4">
        <v>3</v>
      </c>
      <c r="E90" s="6"/>
      <c r="F90" s="5" t="s">
        <v>106</v>
      </c>
      <c r="G90" s="5" t="s">
        <v>31</v>
      </c>
      <c r="H90" s="4" t="s">
        <v>20</v>
      </c>
      <c r="I90" s="4" t="s">
        <v>21</v>
      </c>
      <c r="J90" s="4" t="s">
        <v>16</v>
      </c>
      <c r="K90" s="5" t="s">
        <v>107</v>
      </c>
    </row>
    <row r="91" spans="2:11" ht="15" hidden="1" customHeight="1" x14ac:dyDescent="0.35">
      <c r="B91" s="4">
        <v>21</v>
      </c>
      <c r="C91" s="5" t="s">
        <v>103</v>
      </c>
      <c r="D91" s="4">
        <v>4</v>
      </c>
      <c r="E91" s="6"/>
      <c r="F91" s="5" t="s">
        <v>108</v>
      </c>
      <c r="G91" s="5" t="s">
        <v>31</v>
      </c>
      <c r="H91" s="4" t="s">
        <v>20</v>
      </c>
      <c r="I91" s="4" t="s">
        <v>21</v>
      </c>
      <c r="J91" s="4" t="s">
        <v>16</v>
      </c>
      <c r="K91" s="5" t="s">
        <v>109</v>
      </c>
    </row>
    <row r="92" spans="2:11" ht="15" hidden="1" customHeight="1" x14ac:dyDescent="0.35">
      <c r="B92" s="7">
        <v>22</v>
      </c>
      <c r="C92" s="8" t="s">
        <v>103</v>
      </c>
      <c r="D92" s="7">
        <v>1</v>
      </c>
      <c r="E92" s="9">
        <v>3</v>
      </c>
      <c r="F92" s="8" t="s">
        <v>13</v>
      </c>
      <c r="G92" s="8" t="s">
        <v>14</v>
      </c>
      <c r="H92" s="7" t="s">
        <v>15</v>
      </c>
      <c r="I92" s="7" t="s">
        <v>16</v>
      </c>
      <c r="J92" s="7" t="s">
        <v>16</v>
      </c>
      <c r="K92" s="8" t="s">
        <v>17</v>
      </c>
    </row>
    <row r="93" spans="2:11" ht="15" hidden="1" customHeight="1" x14ac:dyDescent="0.35">
      <c r="B93" s="7">
        <v>22</v>
      </c>
      <c r="C93" s="8" t="s">
        <v>103</v>
      </c>
      <c r="D93" s="7">
        <v>2</v>
      </c>
      <c r="E93" s="9">
        <v>5</v>
      </c>
      <c r="F93" s="8" t="s">
        <v>104</v>
      </c>
      <c r="G93" s="8" t="s">
        <v>14</v>
      </c>
      <c r="H93" s="7" t="s">
        <v>15</v>
      </c>
      <c r="I93" s="7" t="s">
        <v>16</v>
      </c>
      <c r="J93" s="7" t="s">
        <v>16</v>
      </c>
      <c r="K93" s="8" t="s">
        <v>110</v>
      </c>
    </row>
    <row r="94" spans="2:11" ht="27.75" hidden="1" customHeight="1" x14ac:dyDescent="0.35">
      <c r="B94" s="7">
        <v>22</v>
      </c>
      <c r="C94" s="8" t="s">
        <v>103</v>
      </c>
      <c r="D94" s="7">
        <v>3</v>
      </c>
      <c r="E94" s="9"/>
      <c r="F94" s="8" t="s">
        <v>106</v>
      </c>
      <c r="G94" s="8" t="s">
        <v>111</v>
      </c>
      <c r="H94" s="7" t="s">
        <v>20</v>
      </c>
      <c r="I94" s="7" t="s">
        <v>28</v>
      </c>
      <c r="J94" s="7" t="s">
        <v>16</v>
      </c>
      <c r="K94" s="8" t="s">
        <v>112</v>
      </c>
    </row>
    <row r="95" spans="2:11" ht="15" hidden="1" customHeight="1" x14ac:dyDescent="0.35">
      <c r="B95" s="7">
        <v>22</v>
      </c>
      <c r="C95" s="8" t="s">
        <v>103</v>
      </c>
      <c r="D95" s="7">
        <v>4</v>
      </c>
      <c r="E95" s="9"/>
      <c r="F95" s="8" t="s">
        <v>108</v>
      </c>
      <c r="G95" s="8" t="s">
        <v>31</v>
      </c>
      <c r="H95" s="7" t="s">
        <v>20</v>
      </c>
      <c r="I95" s="7" t="s">
        <v>28</v>
      </c>
      <c r="J95" s="7" t="s">
        <v>16</v>
      </c>
      <c r="K95" s="8" t="s">
        <v>113</v>
      </c>
    </row>
    <row r="96" spans="2:11" ht="15" hidden="1" customHeight="1" x14ac:dyDescent="0.35">
      <c r="B96" s="4">
        <v>23</v>
      </c>
      <c r="C96" s="5" t="s">
        <v>103</v>
      </c>
      <c r="D96" s="4">
        <v>1</v>
      </c>
      <c r="E96" s="6">
        <v>3</v>
      </c>
      <c r="F96" s="5" t="s">
        <v>13</v>
      </c>
      <c r="G96" s="5" t="s">
        <v>14</v>
      </c>
      <c r="H96" s="4" t="s">
        <v>15</v>
      </c>
      <c r="I96" s="4" t="s">
        <v>16</v>
      </c>
      <c r="J96" s="4" t="s">
        <v>16</v>
      </c>
      <c r="K96" s="5" t="s">
        <v>17</v>
      </c>
    </row>
    <row r="97" spans="2:11" ht="15" hidden="1" customHeight="1" x14ac:dyDescent="0.35">
      <c r="B97" s="4">
        <v>23</v>
      </c>
      <c r="C97" s="5" t="s">
        <v>103</v>
      </c>
      <c r="D97" s="4">
        <v>2</v>
      </c>
      <c r="E97" s="6"/>
      <c r="F97" s="5" t="s">
        <v>106</v>
      </c>
      <c r="G97" s="5" t="s">
        <v>66</v>
      </c>
      <c r="H97" s="4" t="s">
        <v>34</v>
      </c>
      <c r="I97" s="4" t="s">
        <v>21</v>
      </c>
      <c r="J97" s="4" t="s">
        <v>16</v>
      </c>
      <c r="K97" s="5" t="s">
        <v>114</v>
      </c>
    </row>
    <row r="98" spans="2:11" ht="15" hidden="1" customHeight="1" x14ac:dyDescent="0.35">
      <c r="B98" s="4">
        <v>23</v>
      </c>
      <c r="C98" s="5" t="s">
        <v>103</v>
      </c>
      <c r="D98" s="4">
        <v>3</v>
      </c>
      <c r="E98" s="6"/>
      <c r="F98" s="5" t="s">
        <v>108</v>
      </c>
      <c r="G98" s="5" t="s">
        <v>66</v>
      </c>
      <c r="H98" s="4" t="s">
        <v>34</v>
      </c>
      <c r="I98" s="4" t="s">
        <v>21</v>
      </c>
      <c r="J98" s="4" t="s">
        <v>16</v>
      </c>
      <c r="K98" s="5" t="s">
        <v>113</v>
      </c>
    </row>
    <row r="99" spans="2:11" ht="15" hidden="1" customHeight="1" x14ac:dyDescent="0.35">
      <c r="B99" s="7">
        <v>24</v>
      </c>
      <c r="C99" s="8" t="s">
        <v>103</v>
      </c>
      <c r="D99" s="7">
        <v>1</v>
      </c>
      <c r="E99" s="9">
        <v>3</v>
      </c>
      <c r="F99" s="8" t="s">
        <v>13</v>
      </c>
      <c r="G99" s="8" t="s">
        <v>14</v>
      </c>
      <c r="H99" s="7" t="s">
        <v>15</v>
      </c>
      <c r="I99" s="7" t="s">
        <v>16</v>
      </c>
      <c r="J99" s="7" t="s">
        <v>16</v>
      </c>
      <c r="K99" s="8" t="s">
        <v>17</v>
      </c>
    </row>
    <row r="100" spans="2:11" ht="15" hidden="1" customHeight="1" x14ac:dyDescent="0.35">
      <c r="B100" s="7">
        <v>24</v>
      </c>
      <c r="C100" s="8" t="s">
        <v>103</v>
      </c>
      <c r="D100" s="7">
        <v>2</v>
      </c>
      <c r="E100" s="9"/>
      <c r="F100" s="8" t="s">
        <v>106</v>
      </c>
      <c r="G100" s="8" t="s">
        <v>66</v>
      </c>
      <c r="H100" s="7" t="s">
        <v>34</v>
      </c>
      <c r="I100" s="7" t="s">
        <v>28</v>
      </c>
      <c r="J100" s="7" t="s">
        <v>16</v>
      </c>
      <c r="K100" s="8" t="s">
        <v>115</v>
      </c>
    </row>
    <row r="101" spans="2:11" ht="15" hidden="1" customHeight="1" x14ac:dyDescent="0.35">
      <c r="B101" s="7">
        <v>24</v>
      </c>
      <c r="C101" s="8" t="s">
        <v>103</v>
      </c>
      <c r="D101" s="7">
        <v>3</v>
      </c>
      <c r="E101" s="9"/>
      <c r="F101" s="8" t="s">
        <v>108</v>
      </c>
      <c r="G101" s="8" t="s">
        <v>66</v>
      </c>
      <c r="H101" s="7" t="s">
        <v>34</v>
      </c>
      <c r="I101" s="7" t="s">
        <v>28</v>
      </c>
      <c r="J101" s="7" t="s">
        <v>16</v>
      </c>
      <c r="K101" s="8" t="s">
        <v>113</v>
      </c>
    </row>
    <row r="102" spans="2:11" ht="27.75" hidden="1" customHeight="1" x14ac:dyDescent="0.35">
      <c r="B102" s="4">
        <v>25</v>
      </c>
      <c r="C102" s="5" t="s">
        <v>116</v>
      </c>
      <c r="D102" s="4">
        <v>1</v>
      </c>
      <c r="E102" s="6">
        <v>3</v>
      </c>
      <c r="F102" s="5" t="s">
        <v>13</v>
      </c>
      <c r="G102" s="5" t="s">
        <v>14</v>
      </c>
      <c r="H102" s="4" t="s">
        <v>15</v>
      </c>
      <c r="I102" s="4" t="s">
        <v>16</v>
      </c>
      <c r="J102" s="4" t="s">
        <v>16</v>
      </c>
      <c r="K102" s="5" t="s">
        <v>17</v>
      </c>
    </row>
    <row r="103" spans="2:11" ht="27.75" hidden="1" customHeight="1" x14ac:dyDescent="0.35">
      <c r="B103" s="4">
        <v>25</v>
      </c>
      <c r="C103" s="5" t="s">
        <v>116</v>
      </c>
      <c r="D103" s="4">
        <v>2</v>
      </c>
      <c r="E103" s="6">
        <v>10</v>
      </c>
      <c r="F103" s="5" t="s">
        <v>117</v>
      </c>
      <c r="G103" s="5" t="s">
        <v>31</v>
      </c>
      <c r="H103" s="4" t="s">
        <v>20</v>
      </c>
      <c r="I103" s="4" t="s">
        <v>21</v>
      </c>
      <c r="J103" s="4" t="s">
        <v>16</v>
      </c>
      <c r="K103" s="5" t="s">
        <v>118</v>
      </c>
    </row>
    <row r="104" spans="2:11" ht="27.75" hidden="1" customHeight="1" x14ac:dyDescent="0.35">
      <c r="B104" s="4">
        <v>25</v>
      </c>
      <c r="C104" s="5" t="s">
        <v>116</v>
      </c>
      <c r="D104" s="4">
        <v>3</v>
      </c>
      <c r="E104" s="6">
        <v>10</v>
      </c>
      <c r="F104" s="5" t="s">
        <v>117</v>
      </c>
      <c r="G104" s="5" t="s">
        <v>66</v>
      </c>
      <c r="H104" s="4" t="s">
        <v>34</v>
      </c>
      <c r="I104" s="4" t="s">
        <v>21</v>
      </c>
      <c r="J104" s="4" t="s">
        <v>16</v>
      </c>
      <c r="K104" s="5" t="s">
        <v>119</v>
      </c>
    </row>
    <row r="105" spans="2:11" ht="27.75" hidden="1" customHeight="1" x14ac:dyDescent="0.35">
      <c r="B105" s="4">
        <v>25</v>
      </c>
      <c r="C105" s="5" t="s">
        <v>116</v>
      </c>
      <c r="D105" s="4">
        <v>4</v>
      </c>
      <c r="E105" s="6"/>
      <c r="F105" s="5" t="s">
        <v>59</v>
      </c>
      <c r="G105" s="5" t="s">
        <v>14</v>
      </c>
      <c r="H105" s="4" t="s">
        <v>15</v>
      </c>
      <c r="I105" s="4" t="s">
        <v>16</v>
      </c>
      <c r="J105" s="4" t="s">
        <v>16</v>
      </c>
      <c r="K105" s="5" t="s">
        <v>120</v>
      </c>
    </row>
    <row r="106" spans="2:11" ht="27.75" hidden="1" customHeight="1" x14ac:dyDescent="0.35">
      <c r="B106" s="7">
        <v>26</v>
      </c>
      <c r="C106" s="8" t="s">
        <v>116</v>
      </c>
      <c r="D106" s="7">
        <v>1</v>
      </c>
      <c r="E106" s="9">
        <v>3</v>
      </c>
      <c r="F106" s="8" t="s">
        <v>13</v>
      </c>
      <c r="G106" s="8" t="s">
        <v>14</v>
      </c>
      <c r="H106" s="7" t="s">
        <v>15</v>
      </c>
      <c r="I106" s="7" t="s">
        <v>16</v>
      </c>
      <c r="J106" s="7" t="s">
        <v>16</v>
      </c>
      <c r="K106" s="8" t="s">
        <v>17</v>
      </c>
    </row>
    <row r="107" spans="2:11" ht="27.75" hidden="1" customHeight="1" x14ac:dyDescent="0.35">
      <c r="B107" s="7">
        <v>26</v>
      </c>
      <c r="C107" s="8" t="s">
        <v>116</v>
      </c>
      <c r="D107" s="7">
        <v>2</v>
      </c>
      <c r="E107" s="9">
        <v>10</v>
      </c>
      <c r="F107" s="8" t="s">
        <v>104</v>
      </c>
      <c r="G107" s="8" t="s">
        <v>14</v>
      </c>
      <c r="H107" s="7" t="s">
        <v>15</v>
      </c>
      <c r="I107" s="7" t="s">
        <v>16</v>
      </c>
      <c r="J107" s="7" t="s">
        <v>16</v>
      </c>
      <c r="K107" s="8" t="s">
        <v>121</v>
      </c>
    </row>
    <row r="108" spans="2:11" ht="27.75" hidden="1" customHeight="1" x14ac:dyDescent="0.35">
      <c r="B108" s="7">
        <v>26</v>
      </c>
      <c r="C108" s="8" t="s">
        <v>116</v>
      </c>
      <c r="D108" s="7">
        <v>3</v>
      </c>
      <c r="E108" s="9"/>
      <c r="F108" s="8" t="s">
        <v>59</v>
      </c>
      <c r="G108" s="8" t="s">
        <v>14</v>
      </c>
      <c r="H108" s="7" t="s">
        <v>15</v>
      </c>
      <c r="I108" s="7" t="s">
        <v>16</v>
      </c>
      <c r="J108" s="7" t="s">
        <v>16</v>
      </c>
      <c r="K108" s="8" t="s">
        <v>122</v>
      </c>
    </row>
    <row r="109" spans="2:11" ht="27.75" hidden="1" customHeight="1" x14ac:dyDescent="0.35">
      <c r="B109" s="4">
        <v>27</v>
      </c>
      <c r="C109" s="5" t="s">
        <v>116</v>
      </c>
      <c r="D109" s="4">
        <v>1</v>
      </c>
      <c r="E109" s="6"/>
      <c r="F109" s="5" t="s">
        <v>123</v>
      </c>
      <c r="G109" s="5" t="s">
        <v>14</v>
      </c>
      <c r="H109" s="4" t="s">
        <v>15</v>
      </c>
      <c r="I109" s="4" t="s">
        <v>16</v>
      </c>
      <c r="J109" s="4" t="s">
        <v>16</v>
      </c>
      <c r="K109" s="5" t="s">
        <v>124</v>
      </c>
    </row>
    <row r="110" spans="2:11" ht="15" hidden="1" customHeight="1" x14ac:dyDescent="0.35">
      <c r="B110" s="7">
        <v>28</v>
      </c>
      <c r="C110" s="8" t="s">
        <v>125</v>
      </c>
      <c r="D110" s="7">
        <v>1</v>
      </c>
      <c r="E110" s="9">
        <v>3</v>
      </c>
      <c r="F110" s="8" t="s">
        <v>13</v>
      </c>
      <c r="G110" s="8" t="s">
        <v>14</v>
      </c>
      <c r="H110" s="7" t="s">
        <v>15</v>
      </c>
      <c r="I110" s="7" t="s">
        <v>16</v>
      </c>
      <c r="J110" s="7" t="s">
        <v>16</v>
      </c>
      <c r="K110" s="8" t="s">
        <v>17</v>
      </c>
    </row>
    <row r="111" spans="2:11" ht="27.75" hidden="1" customHeight="1" x14ac:dyDescent="0.35">
      <c r="B111" s="7">
        <v>28</v>
      </c>
      <c r="C111" s="8" t="s">
        <v>125</v>
      </c>
      <c r="D111" s="7">
        <v>2</v>
      </c>
      <c r="E111" s="9"/>
      <c r="F111" s="8" t="s">
        <v>126</v>
      </c>
      <c r="G111" s="8" t="s">
        <v>14</v>
      </c>
      <c r="H111" s="7" t="s">
        <v>15</v>
      </c>
      <c r="I111" s="7" t="s">
        <v>21</v>
      </c>
      <c r="J111" s="7" t="s">
        <v>16</v>
      </c>
      <c r="K111" s="8" t="s">
        <v>127</v>
      </c>
    </row>
    <row r="112" spans="2:11" ht="15" customHeight="1" x14ac:dyDescent="0.35">
      <c r="B112" s="4">
        <v>29</v>
      </c>
      <c r="C112" s="5" t="s">
        <v>125</v>
      </c>
      <c r="D112" s="4">
        <v>1</v>
      </c>
      <c r="E112" s="6">
        <v>3</v>
      </c>
      <c r="F112" s="5" t="s">
        <v>13</v>
      </c>
      <c r="G112" s="5" t="s">
        <v>14</v>
      </c>
      <c r="H112" s="4" t="s">
        <v>15</v>
      </c>
      <c r="I112" s="4" t="s">
        <v>16</v>
      </c>
      <c r="J112" s="4" t="s">
        <v>16</v>
      </c>
      <c r="K112" s="5" t="s">
        <v>17</v>
      </c>
    </row>
    <row r="113" spans="2:11" ht="15" customHeight="1" x14ac:dyDescent="0.35">
      <c r="B113" s="4">
        <v>29</v>
      </c>
      <c r="C113" s="5" t="s">
        <v>125</v>
      </c>
      <c r="D113" s="4">
        <v>2</v>
      </c>
      <c r="E113" s="6"/>
      <c r="F113" s="5" t="s">
        <v>126</v>
      </c>
      <c r="G113" s="5" t="s">
        <v>14</v>
      </c>
      <c r="H113" s="4" t="s">
        <v>15</v>
      </c>
      <c r="I113" s="4" t="s">
        <v>28</v>
      </c>
      <c r="J113" s="4" t="s">
        <v>16</v>
      </c>
      <c r="K113" s="5" t="s">
        <v>128</v>
      </c>
    </row>
    <row r="114" spans="2:11" ht="15" customHeight="1" x14ac:dyDescent="0.35">
      <c r="B114" s="7">
        <v>30</v>
      </c>
      <c r="C114" s="8" t="s">
        <v>125</v>
      </c>
      <c r="D114" s="7">
        <v>1</v>
      </c>
      <c r="E114" s="9"/>
      <c r="F114" s="8" t="s">
        <v>129</v>
      </c>
      <c r="G114" s="8" t="s">
        <v>14</v>
      </c>
      <c r="H114" s="7" t="s">
        <v>15</v>
      </c>
      <c r="I114" s="7" t="s">
        <v>16</v>
      </c>
      <c r="J114" s="7" t="s">
        <v>16</v>
      </c>
      <c r="K114" s="8" t="s">
        <v>130</v>
      </c>
    </row>
  </sheetData>
  <autoFilter ref="B5:K114" xr:uid="{00000000-0009-0000-0000-000000000000}">
    <filterColumn colId="0">
      <filters>
        <filter val="29"/>
        <filter val="30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36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3" customWidth="1"/>
    <col min="2" max="2" width="8" customWidth="1"/>
    <col min="3" max="3" width="30" customWidth="1"/>
    <col min="4" max="4" width="9" customWidth="1"/>
    <col min="5" max="5" width="14" customWidth="1"/>
    <col min="6" max="6" width="62" customWidth="1"/>
    <col min="7" max="7" width="30" customWidth="1"/>
  </cols>
  <sheetData>
    <row r="2" spans="2:7" ht="19.5" customHeight="1" x14ac:dyDescent="0.5">
      <c r="B2" s="1" t="s">
        <v>131</v>
      </c>
    </row>
    <row r="3" spans="2:7" ht="15" customHeight="1" x14ac:dyDescent="0.35">
      <c r="B3" s="2" t="s">
        <v>132</v>
      </c>
    </row>
    <row r="5" spans="2:7" ht="31.5" customHeight="1" x14ac:dyDescent="0.35">
      <c r="B5" s="3" t="s">
        <v>2</v>
      </c>
      <c r="C5" s="3" t="s">
        <v>3</v>
      </c>
      <c r="D5" s="3" t="s">
        <v>133</v>
      </c>
      <c r="E5" s="3" t="s">
        <v>134</v>
      </c>
      <c r="F5" s="3" t="s">
        <v>135</v>
      </c>
      <c r="G5" s="3" t="s">
        <v>136</v>
      </c>
    </row>
    <row r="6" spans="2:7" ht="15" customHeight="1" x14ac:dyDescent="0.35">
      <c r="B6" s="6">
        <v>1</v>
      </c>
      <c r="C6" s="5" t="s">
        <v>12</v>
      </c>
      <c r="D6" s="6">
        <f>COUNTIF('Lesson Blocks'!$B$6:$B$114,$B6)</f>
        <v>5</v>
      </c>
      <c r="E6" s="10">
        <f>SUMIF('Lesson Blocks'!$B$6:$B$114,$B6,'Lesson Blocks'!$E$6:$E$114)</f>
        <v>40</v>
      </c>
      <c r="F6" s="5" t="s">
        <v>137</v>
      </c>
      <c r="G6" s="5" t="s">
        <v>19</v>
      </c>
    </row>
    <row r="7" spans="2:7" ht="15" customHeight="1" x14ac:dyDescent="0.35">
      <c r="B7" s="9">
        <v>2</v>
      </c>
      <c r="C7" s="8" t="s">
        <v>12</v>
      </c>
      <c r="D7" s="9">
        <f>COUNTIF('Lesson Blocks'!$B$6:$B$114,$B7)</f>
        <v>5</v>
      </c>
      <c r="E7" s="11">
        <f>SUMIF('Lesson Blocks'!$B$6:$B$114,$B7,'Lesson Blocks'!$E$6:$E$114)</f>
        <v>43</v>
      </c>
      <c r="F7" s="8" t="s">
        <v>138</v>
      </c>
      <c r="G7" s="8" t="s">
        <v>33</v>
      </c>
    </row>
    <row r="8" spans="2:7" ht="15" customHeight="1" x14ac:dyDescent="0.35">
      <c r="B8" s="6">
        <v>3</v>
      </c>
      <c r="C8" s="5" t="s">
        <v>12</v>
      </c>
      <c r="D8" s="6">
        <f>COUNTIF('Lesson Blocks'!$B$6:$B$114,$B8)</f>
        <v>4</v>
      </c>
      <c r="E8" s="10">
        <f>SUMIF('Lesson Blocks'!$B$6:$B$114,$B8,'Lesson Blocks'!$E$6:$E$114)</f>
        <v>38</v>
      </c>
      <c r="F8" s="5" t="s">
        <v>139</v>
      </c>
      <c r="G8" s="5" t="s">
        <v>140</v>
      </c>
    </row>
    <row r="9" spans="2:7" ht="15" customHeight="1" x14ac:dyDescent="0.35">
      <c r="B9" s="9">
        <v>4</v>
      </c>
      <c r="C9" s="8" t="s">
        <v>12</v>
      </c>
      <c r="D9" s="9">
        <f>COUNTIF('Lesson Blocks'!$B$6:$B$114,$B9)</f>
        <v>4</v>
      </c>
      <c r="E9" s="11">
        <f>SUMIF('Lesson Blocks'!$B$6:$B$114,$B9,'Lesson Blocks'!$E$6:$E$114)</f>
        <v>43</v>
      </c>
      <c r="F9" s="8" t="s">
        <v>141</v>
      </c>
      <c r="G9" s="8" t="s">
        <v>46</v>
      </c>
    </row>
    <row r="10" spans="2:7" ht="15" customHeight="1" x14ac:dyDescent="0.35">
      <c r="B10" s="6">
        <v>5</v>
      </c>
      <c r="C10" s="5" t="s">
        <v>12</v>
      </c>
      <c r="D10" s="6">
        <f>COUNTIF('Lesson Blocks'!$B$6:$B$114,$B10)</f>
        <v>4</v>
      </c>
      <c r="E10" s="10">
        <f>SUMIF('Lesson Blocks'!$B$6:$B$114,$B10,'Lesson Blocks'!$E$6:$E$114)</f>
        <v>40</v>
      </c>
      <c r="F10" s="5" t="s">
        <v>142</v>
      </c>
      <c r="G10" s="5" t="s">
        <v>143</v>
      </c>
    </row>
    <row r="11" spans="2:7" ht="15" customHeight="1" x14ac:dyDescent="0.35">
      <c r="B11" s="9">
        <v>6</v>
      </c>
      <c r="C11" s="8" t="s">
        <v>12</v>
      </c>
      <c r="D11" s="9">
        <f>COUNTIF('Lesson Blocks'!$B$6:$B$114,$B11)</f>
        <v>3</v>
      </c>
      <c r="E11" s="11">
        <f>SUMIF('Lesson Blocks'!$B$6:$B$114,$B11,'Lesson Blocks'!$E$6:$E$114)</f>
        <v>38</v>
      </c>
      <c r="F11" s="8" t="s">
        <v>144</v>
      </c>
      <c r="G11" s="8" t="s">
        <v>53</v>
      </c>
    </row>
    <row r="12" spans="2:7" ht="15" customHeight="1" x14ac:dyDescent="0.35">
      <c r="B12" s="6">
        <v>7</v>
      </c>
      <c r="C12" s="5" t="s">
        <v>12</v>
      </c>
      <c r="D12" s="6">
        <f>COUNTIF('Lesson Blocks'!$B$6:$B$114,$B12)</f>
        <v>4</v>
      </c>
      <c r="E12" s="10">
        <f>SUMIF('Lesson Blocks'!$B$6:$B$114,$B12,'Lesson Blocks'!$E$6:$E$114)</f>
        <v>48</v>
      </c>
      <c r="F12" s="5" t="s">
        <v>145</v>
      </c>
      <c r="G12" s="5" t="s">
        <v>146</v>
      </c>
    </row>
    <row r="13" spans="2:7" ht="15" customHeight="1" x14ac:dyDescent="0.35">
      <c r="B13" s="9">
        <v>8</v>
      </c>
      <c r="C13" s="8" t="s">
        <v>12</v>
      </c>
      <c r="D13" s="9">
        <f>COUNTIF('Lesson Blocks'!$B$6:$B$114,$B13)</f>
        <v>4</v>
      </c>
      <c r="E13" s="11">
        <f>SUMIF('Lesson Blocks'!$B$6:$B$114,$B13,'Lesson Blocks'!$E$6:$E$114)</f>
        <v>33</v>
      </c>
      <c r="F13" s="8" t="s">
        <v>147</v>
      </c>
      <c r="G13" s="8" t="s">
        <v>100</v>
      </c>
    </row>
    <row r="14" spans="2:7" ht="15" customHeight="1" x14ac:dyDescent="0.35">
      <c r="B14" s="6">
        <v>9</v>
      </c>
      <c r="C14" s="5" t="s">
        <v>12</v>
      </c>
      <c r="D14" s="6">
        <f>COUNTIF('Lesson Blocks'!$B$6:$B$114,$B14)</f>
        <v>3</v>
      </c>
      <c r="E14" s="10">
        <f>SUMIF('Lesson Blocks'!$B$6:$B$114,$B14,'Lesson Blocks'!$E$6:$E$114)</f>
        <v>43</v>
      </c>
      <c r="F14" s="5" t="s">
        <v>148</v>
      </c>
      <c r="G14" s="5" t="s">
        <v>14</v>
      </c>
    </row>
    <row r="15" spans="2:7" ht="15" customHeight="1" x14ac:dyDescent="0.35">
      <c r="B15" s="9">
        <v>10</v>
      </c>
      <c r="C15" s="8" t="s">
        <v>69</v>
      </c>
      <c r="D15" s="9">
        <f>COUNTIF('Lesson Blocks'!$B$6:$B$114,$B15)</f>
        <v>3</v>
      </c>
      <c r="E15" s="11">
        <f>SUMIF('Lesson Blocks'!$B$6:$B$114,$B15,'Lesson Blocks'!$E$6:$E$114)</f>
        <v>43</v>
      </c>
      <c r="F15" s="8" t="s">
        <v>149</v>
      </c>
      <c r="G15" s="8" t="s">
        <v>31</v>
      </c>
    </row>
    <row r="16" spans="2:7" ht="15" customHeight="1" x14ac:dyDescent="0.35">
      <c r="B16" s="6">
        <v>11</v>
      </c>
      <c r="C16" s="5" t="s">
        <v>69</v>
      </c>
      <c r="D16" s="6">
        <f>COUNTIF('Lesson Blocks'!$B$6:$B$114,$B16)</f>
        <v>3</v>
      </c>
      <c r="E16" s="10">
        <f>SUMIF('Lesson Blocks'!$B$6:$B$114,$B16,'Lesson Blocks'!$E$6:$E$114)</f>
        <v>38</v>
      </c>
      <c r="F16" s="5" t="s">
        <v>150</v>
      </c>
      <c r="G16" s="5" t="s">
        <v>100</v>
      </c>
    </row>
    <row r="17" spans="2:7" ht="15" customHeight="1" x14ac:dyDescent="0.35">
      <c r="B17" s="9">
        <v>12</v>
      </c>
      <c r="C17" s="8" t="s">
        <v>69</v>
      </c>
      <c r="D17" s="9">
        <f>COUNTIF('Lesson Blocks'!$B$6:$B$114,$B17)</f>
        <v>3</v>
      </c>
      <c r="E17" s="11">
        <f>SUMIF('Lesson Blocks'!$B$6:$B$114,$B17,'Lesson Blocks'!$E$6:$E$114)</f>
        <v>33</v>
      </c>
      <c r="F17" s="8" t="s">
        <v>151</v>
      </c>
      <c r="G17" s="8" t="s">
        <v>66</v>
      </c>
    </row>
    <row r="18" spans="2:7" ht="15" customHeight="1" x14ac:dyDescent="0.35">
      <c r="B18" s="6">
        <v>13</v>
      </c>
      <c r="C18" s="5" t="s">
        <v>76</v>
      </c>
      <c r="D18" s="6">
        <f>COUNTIF('Lesson Blocks'!$B$6:$B$114,$B18)</f>
        <v>4</v>
      </c>
      <c r="E18" s="10">
        <f>SUMIF('Lesson Blocks'!$B$6:$B$114,$B18,'Lesson Blocks'!$E$6:$E$114)</f>
        <v>38</v>
      </c>
      <c r="F18" s="5" t="s">
        <v>152</v>
      </c>
      <c r="G18" s="5" t="s">
        <v>19</v>
      </c>
    </row>
    <row r="19" spans="2:7" ht="15" customHeight="1" x14ac:dyDescent="0.35">
      <c r="B19" s="9">
        <v>14</v>
      </c>
      <c r="C19" s="8" t="s">
        <v>76</v>
      </c>
      <c r="D19" s="9">
        <f>COUNTIF('Lesson Blocks'!$B$6:$B$114,$B19)</f>
        <v>4</v>
      </c>
      <c r="E19" s="11">
        <f>SUMIF('Lesson Blocks'!$B$6:$B$114,$B19,'Lesson Blocks'!$E$6:$E$114)</f>
        <v>38</v>
      </c>
      <c r="F19" s="8" t="s">
        <v>153</v>
      </c>
      <c r="G19" s="8" t="s">
        <v>154</v>
      </c>
    </row>
    <row r="20" spans="2:7" ht="15" customHeight="1" x14ac:dyDescent="0.35">
      <c r="B20" s="6">
        <v>15</v>
      </c>
      <c r="C20" s="5" t="s">
        <v>76</v>
      </c>
      <c r="D20" s="6">
        <f>COUNTIF('Lesson Blocks'!$B$6:$B$114,$B20)</f>
        <v>4</v>
      </c>
      <c r="E20" s="10">
        <f>SUMIF('Lesson Blocks'!$B$6:$B$114,$B20,'Lesson Blocks'!$E$6:$E$114)</f>
        <v>38</v>
      </c>
      <c r="F20" s="5" t="s">
        <v>155</v>
      </c>
      <c r="G20" s="5" t="s">
        <v>156</v>
      </c>
    </row>
    <row r="21" spans="2:7" ht="15" customHeight="1" x14ac:dyDescent="0.35">
      <c r="B21" s="9">
        <v>16</v>
      </c>
      <c r="C21" s="8" t="s">
        <v>76</v>
      </c>
      <c r="D21" s="9">
        <f>COUNTIF('Lesson Blocks'!$B$6:$B$114,$B21)</f>
        <v>4</v>
      </c>
      <c r="E21" s="11">
        <f>SUMIF('Lesson Blocks'!$B$6:$B$114,$B21,'Lesson Blocks'!$E$6:$E$114)</f>
        <v>38</v>
      </c>
      <c r="F21" s="8" t="s">
        <v>157</v>
      </c>
      <c r="G21" s="8" t="s">
        <v>158</v>
      </c>
    </row>
    <row r="22" spans="2:7" ht="15" customHeight="1" x14ac:dyDescent="0.35">
      <c r="B22" s="6">
        <v>17</v>
      </c>
      <c r="C22" s="5" t="s">
        <v>76</v>
      </c>
      <c r="D22" s="6">
        <f>COUNTIF('Lesson Blocks'!$B$6:$B$114,$B22)</f>
        <v>5</v>
      </c>
      <c r="E22" s="10">
        <f>SUMIF('Lesson Blocks'!$B$6:$B$114,$B22,'Lesson Blocks'!$E$6:$E$114)</f>
        <v>40</v>
      </c>
      <c r="F22" s="5" t="s">
        <v>159</v>
      </c>
      <c r="G22" s="5" t="s">
        <v>160</v>
      </c>
    </row>
    <row r="23" spans="2:7" ht="15" customHeight="1" x14ac:dyDescent="0.35">
      <c r="B23" s="9">
        <v>18</v>
      </c>
      <c r="C23" s="8" t="s">
        <v>76</v>
      </c>
      <c r="D23" s="9">
        <f>COUNTIF('Lesson Blocks'!$B$6:$B$114,$B23)</f>
        <v>5</v>
      </c>
      <c r="E23" s="11">
        <f>SUMIF('Lesson Blocks'!$B$6:$B$114,$B23,'Lesson Blocks'!$E$6:$E$114)</f>
        <v>40</v>
      </c>
      <c r="F23" s="8" t="s">
        <v>161</v>
      </c>
      <c r="G23" s="8" t="s">
        <v>162</v>
      </c>
    </row>
    <row r="24" spans="2:7" ht="15" customHeight="1" x14ac:dyDescent="0.35">
      <c r="B24" s="6">
        <v>19</v>
      </c>
      <c r="C24" s="5" t="s">
        <v>76</v>
      </c>
      <c r="D24" s="6">
        <f>COUNTIF('Lesson Blocks'!$B$6:$B$114,$B24)</f>
        <v>5</v>
      </c>
      <c r="E24" s="10">
        <f>SUMIF('Lesson Blocks'!$B$6:$B$114,$B24,'Lesson Blocks'!$E$6:$E$114)</f>
        <v>40</v>
      </c>
      <c r="F24" s="5" t="s">
        <v>163</v>
      </c>
      <c r="G24" s="5" t="s">
        <v>146</v>
      </c>
    </row>
    <row r="25" spans="2:7" ht="15" customHeight="1" x14ac:dyDescent="0.35">
      <c r="B25" s="9">
        <v>20</v>
      </c>
      <c r="C25" s="8" t="s">
        <v>76</v>
      </c>
      <c r="D25" s="9">
        <f>COUNTIF('Lesson Blocks'!$B$6:$B$114,$B25)</f>
        <v>6</v>
      </c>
      <c r="E25" s="11">
        <f>SUMIF('Lesson Blocks'!$B$6:$B$114,$B25,'Lesson Blocks'!$E$6:$E$114)</f>
        <v>38</v>
      </c>
      <c r="F25" s="8" t="s">
        <v>164</v>
      </c>
      <c r="G25" s="8" t="s">
        <v>100</v>
      </c>
    </row>
    <row r="26" spans="2:7" ht="27.75" customHeight="1" x14ac:dyDescent="0.35">
      <c r="B26" s="6">
        <v>21</v>
      </c>
      <c r="C26" s="5" t="s">
        <v>103</v>
      </c>
      <c r="D26" s="6">
        <f>COUNTIF('Lesson Blocks'!$B$6:$B$114,$B26)</f>
        <v>4</v>
      </c>
      <c r="E26" s="10">
        <f>SUMIF('Lesson Blocks'!$B$6:$B$114,$B26,'Lesson Blocks'!$E$6:$E$114)</f>
        <v>8</v>
      </c>
      <c r="F26" s="5" t="s">
        <v>165</v>
      </c>
      <c r="G26" s="5" t="s">
        <v>31</v>
      </c>
    </row>
    <row r="27" spans="2:7" ht="15" customHeight="1" x14ac:dyDescent="0.35">
      <c r="B27" s="9">
        <v>22</v>
      </c>
      <c r="C27" s="8" t="s">
        <v>103</v>
      </c>
      <c r="D27" s="9">
        <f>COUNTIF('Lesson Blocks'!$B$6:$B$114,$B27)</f>
        <v>4</v>
      </c>
      <c r="E27" s="11">
        <f>SUMIF('Lesson Blocks'!$B$6:$B$114,$B27,'Lesson Blocks'!$E$6:$E$114)</f>
        <v>8</v>
      </c>
      <c r="F27" s="8" t="s">
        <v>166</v>
      </c>
      <c r="G27" s="8" t="s">
        <v>111</v>
      </c>
    </row>
    <row r="28" spans="2:7" ht="15" customHeight="1" x14ac:dyDescent="0.35">
      <c r="B28" s="6">
        <v>23</v>
      </c>
      <c r="C28" s="5" t="s">
        <v>103</v>
      </c>
      <c r="D28" s="6">
        <f>COUNTIF('Lesson Blocks'!$B$6:$B$114,$B28)</f>
        <v>3</v>
      </c>
      <c r="E28" s="10">
        <f>SUMIF('Lesson Blocks'!$B$6:$B$114,$B28,'Lesson Blocks'!$E$6:$E$114)</f>
        <v>3</v>
      </c>
      <c r="F28" s="5" t="s">
        <v>167</v>
      </c>
      <c r="G28" s="5" t="s">
        <v>66</v>
      </c>
    </row>
    <row r="29" spans="2:7" ht="15" customHeight="1" x14ac:dyDescent="0.35">
      <c r="B29" s="9">
        <v>24</v>
      </c>
      <c r="C29" s="8" t="s">
        <v>103</v>
      </c>
      <c r="D29" s="9">
        <f>COUNTIF('Lesson Blocks'!$B$6:$B$114,$B29)</f>
        <v>3</v>
      </c>
      <c r="E29" s="11">
        <f>SUMIF('Lesson Blocks'!$B$6:$B$114,$B29,'Lesson Blocks'!$E$6:$E$114)</f>
        <v>3</v>
      </c>
      <c r="F29" s="8" t="s">
        <v>168</v>
      </c>
      <c r="G29" s="8" t="s">
        <v>66</v>
      </c>
    </row>
    <row r="30" spans="2:7" ht="27.75" customHeight="1" x14ac:dyDescent="0.35">
      <c r="B30" s="6">
        <v>25</v>
      </c>
      <c r="C30" s="5" t="s">
        <v>116</v>
      </c>
      <c r="D30" s="6">
        <f>COUNTIF('Lesson Blocks'!$B$6:$B$114,$B30)</f>
        <v>4</v>
      </c>
      <c r="E30" s="10">
        <f>SUMIF('Lesson Blocks'!$B$6:$B$114,$B30,'Lesson Blocks'!$E$6:$E$114)</f>
        <v>23</v>
      </c>
      <c r="F30" s="5" t="s">
        <v>169</v>
      </c>
      <c r="G30" s="5" t="s">
        <v>14</v>
      </c>
    </row>
    <row r="31" spans="2:7" ht="27.75" customHeight="1" x14ac:dyDescent="0.35">
      <c r="B31" s="9">
        <v>26</v>
      </c>
      <c r="C31" s="8" t="s">
        <v>116</v>
      </c>
      <c r="D31" s="9">
        <f>COUNTIF('Lesson Blocks'!$B$6:$B$114,$B31)</f>
        <v>3</v>
      </c>
      <c r="E31" s="11">
        <f>SUMIF('Lesson Blocks'!$B$6:$B$114,$B31,'Lesson Blocks'!$E$6:$E$114)</f>
        <v>13</v>
      </c>
      <c r="F31" s="8" t="s">
        <v>170</v>
      </c>
      <c r="G31" s="8" t="s">
        <v>14</v>
      </c>
    </row>
    <row r="32" spans="2:7" ht="27.75" customHeight="1" x14ac:dyDescent="0.35">
      <c r="B32" s="6">
        <v>27</v>
      </c>
      <c r="C32" s="5" t="s">
        <v>116</v>
      </c>
      <c r="D32" s="6">
        <f>COUNTIF('Lesson Blocks'!$B$6:$B$114,$B32)</f>
        <v>1</v>
      </c>
      <c r="E32" s="10">
        <f>SUMIF('Lesson Blocks'!$B$6:$B$114,$B32,'Lesson Blocks'!$E$6:$E$114)</f>
        <v>0</v>
      </c>
      <c r="F32" s="5" t="s">
        <v>171</v>
      </c>
      <c r="G32" s="5" t="s">
        <v>14</v>
      </c>
    </row>
    <row r="33" spans="2:7" ht="27.75" customHeight="1" x14ac:dyDescent="0.35">
      <c r="B33" s="9">
        <v>28</v>
      </c>
      <c r="C33" s="8" t="s">
        <v>125</v>
      </c>
      <c r="D33" s="9">
        <f>COUNTIF('Lesson Blocks'!$B$6:$B$114,$B33)</f>
        <v>2</v>
      </c>
      <c r="E33" s="11">
        <f>SUMIF('Lesson Blocks'!$B$6:$B$114,$B33,'Lesson Blocks'!$E$6:$E$114)</f>
        <v>3</v>
      </c>
      <c r="F33" s="8" t="s">
        <v>172</v>
      </c>
      <c r="G33" s="8" t="s">
        <v>14</v>
      </c>
    </row>
    <row r="34" spans="2:7" ht="15" customHeight="1" x14ac:dyDescent="0.35">
      <c r="B34" s="6">
        <v>29</v>
      </c>
      <c r="C34" s="5" t="s">
        <v>125</v>
      </c>
      <c r="D34" s="6">
        <f>COUNTIF('Lesson Blocks'!$B$6:$B$114,$B34)</f>
        <v>2</v>
      </c>
      <c r="E34" s="10">
        <f>SUMIF('Lesson Blocks'!$B$6:$B$114,$B34,'Lesson Blocks'!$E$6:$E$114)</f>
        <v>3</v>
      </c>
      <c r="F34" s="5" t="s">
        <v>173</v>
      </c>
      <c r="G34" s="5" t="s">
        <v>14</v>
      </c>
    </row>
    <row r="35" spans="2:7" ht="15" customHeight="1" x14ac:dyDescent="0.35">
      <c r="B35" s="9">
        <v>30</v>
      </c>
      <c r="C35" s="8" t="s">
        <v>125</v>
      </c>
      <c r="D35" s="9">
        <f>COUNTIF('Lesson Blocks'!$B$6:$B$114,$B35)</f>
        <v>1</v>
      </c>
      <c r="E35" s="11">
        <f>SUMIF('Lesson Blocks'!$B$6:$B$114,$B35,'Lesson Blocks'!$E$6:$E$114)</f>
        <v>0</v>
      </c>
      <c r="F35" s="8" t="s">
        <v>174</v>
      </c>
      <c r="G35" s="8" t="s">
        <v>14</v>
      </c>
    </row>
    <row r="36" spans="2:7" ht="15" customHeight="1" x14ac:dyDescent="0.35">
      <c r="C36" s="12" t="s">
        <v>175</v>
      </c>
      <c r="D36" s="13">
        <f>SUM(D6:D35)</f>
        <v>109</v>
      </c>
      <c r="E36" s="14">
        <f>SUM(E6:E35)</f>
        <v>854</v>
      </c>
    </row>
  </sheetData>
  <autoFilter ref="B5:G3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7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34" customWidth="1"/>
    <col min="3" max="3" width="12" customWidth="1"/>
    <col min="4" max="4" width="62" customWidth="1"/>
    <col min="5" max="5" width="58" customWidth="1"/>
  </cols>
  <sheetData>
    <row r="2" spans="2:5" ht="19.5" customHeight="1" x14ac:dyDescent="0.5">
      <c r="B2" s="1" t="s">
        <v>176</v>
      </c>
    </row>
    <row r="4" spans="2:5" ht="30" customHeight="1" x14ac:dyDescent="0.35">
      <c r="B4" s="3" t="s">
        <v>3</v>
      </c>
      <c r="C4" s="3" t="s">
        <v>177</v>
      </c>
      <c r="D4" s="3" t="s">
        <v>178</v>
      </c>
      <c r="E4" s="3" t="s">
        <v>179</v>
      </c>
    </row>
    <row r="5" spans="2:5" ht="45.75" customHeight="1" x14ac:dyDescent="0.35">
      <c r="B5" s="15" t="s">
        <v>12</v>
      </c>
      <c r="C5" s="16" t="s">
        <v>180</v>
      </c>
      <c r="D5" s="15" t="s">
        <v>181</v>
      </c>
      <c r="E5" s="15" t="s">
        <v>182</v>
      </c>
    </row>
    <row r="6" spans="2:5" ht="45.75" customHeight="1" x14ac:dyDescent="0.35">
      <c r="B6" s="15" t="s">
        <v>69</v>
      </c>
      <c r="C6" s="16" t="s">
        <v>183</v>
      </c>
      <c r="D6" s="15" t="s">
        <v>184</v>
      </c>
      <c r="E6" s="15" t="s">
        <v>185</v>
      </c>
    </row>
    <row r="7" spans="2:5" ht="45.75" customHeight="1" x14ac:dyDescent="0.35">
      <c r="B7" s="15" t="s">
        <v>76</v>
      </c>
      <c r="C7" s="16" t="s">
        <v>186</v>
      </c>
      <c r="D7" s="15" t="s">
        <v>187</v>
      </c>
      <c r="E7" s="15" t="s">
        <v>188</v>
      </c>
    </row>
    <row r="8" spans="2:5" ht="45.75" customHeight="1" x14ac:dyDescent="0.35">
      <c r="B8" s="15" t="s">
        <v>103</v>
      </c>
      <c r="C8" s="16" t="s">
        <v>189</v>
      </c>
      <c r="D8" s="15" t="s">
        <v>190</v>
      </c>
      <c r="E8" s="15" t="s">
        <v>191</v>
      </c>
    </row>
    <row r="9" spans="2:5" ht="45.75" customHeight="1" x14ac:dyDescent="0.35">
      <c r="B9" s="15" t="s">
        <v>116</v>
      </c>
      <c r="C9" s="16" t="s">
        <v>192</v>
      </c>
      <c r="D9" s="15" t="s">
        <v>193</v>
      </c>
      <c r="E9" s="15" t="s">
        <v>194</v>
      </c>
    </row>
    <row r="10" spans="2:5" ht="45.75" customHeight="1" x14ac:dyDescent="0.35">
      <c r="B10" s="15" t="s">
        <v>125</v>
      </c>
      <c r="C10" s="16" t="s">
        <v>195</v>
      </c>
      <c r="D10" s="15" t="s">
        <v>196</v>
      </c>
      <c r="E10" s="15" t="s">
        <v>197</v>
      </c>
    </row>
    <row r="12" spans="2:5" ht="15" customHeight="1" x14ac:dyDescent="0.35">
      <c r="B12" s="17" t="s">
        <v>198</v>
      </c>
    </row>
    <row r="13" spans="2:5" ht="31.5" customHeight="1" x14ac:dyDescent="0.35">
      <c r="B13" s="18" t="s">
        <v>199</v>
      </c>
      <c r="C13" s="19" t="s">
        <v>200</v>
      </c>
      <c r="D13" s="19"/>
      <c r="E13" s="19"/>
    </row>
    <row r="14" spans="2:5" ht="31.5" customHeight="1" x14ac:dyDescent="0.35">
      <c r="B14" s="18" t="s">
        <v>201</v>
      </c>
      <c r="C14" s="19" t="s">
        <v>202</v>
      </c>
      <c r="D14" s="19"/>
      <c r="E14" s="19"/>
    </row>
    <row r="15" spans="2:5" ht="31.5" customHeight="1" x14ac:dyDescent="0.35">
      <c r="B15" s="18" t="s">
        <v>203</v>
      </c>
      <c r="C15" s="19" t="s">
        <v>204</v>
      </c>
      <c r="D15" s="19"/>
      <c r="E15" s="19"/>
    </row>
    <row r="16" spans="2:5" ht="31.5" customHeight="1" x14ac:dyDescent="0.35">
      <c r="B16" s="18" t="s">
        <v>205</v>
      </c>
      <c r="C16" s="19" t="s">
        <v>206</v>
      </c>
      <c r="D16" s="19"/>
      <c r="E16" s="19"/>
    </row>
    <row r="17" spans="2:5" ht="31.5" customHeight="1" x14ac:dyDescent="0.35">
      <c r="B17" s="18" t="s">
        <v>207</v>
      </c>
      <c r="C17" s="19" t="s">
        <v>208</v>
      </c>
      <c r="D17" s="19"/>
      <c r="E17" s="19"/>
    </row>
  </sheetData>
  <mergeCells count="5">
    <mergeCell ref="C13:E13"/>
    <mergeCell ref="C14:E14"/>
    <mergeCell ref="C15:E15"/>
    <mergeCell ref="C16:E16"/>
    <mergeCell ref="C17:E17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7c237466-8521-4b3a-9f4b-324f3f7f285e}" enabled="0" method="" siteId="{7c237466-8521-4b3a-9f4b-324f3f7f28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Lesson Blocks</vt:lpstr>
      <vt:lpstr>Lesson Summary</vt:lpstr>
      <vt:lpstr>Phase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Julia Suzuki</cp:lastModifiedBy>
  <cp:revision>0</cp:revision>
  <dcterms:created xsi:type="dcterms:W3CDTF">2026-09-09T01:55:16Z</dcterms:created>
  <dcterms:modified xsi:type="dcterms:W3CDTF">2026-09-14T13:47:03Z</dcterms:modified>
  <dc:language>en-US</dc:language>
</cp:coreProperties>
</file>